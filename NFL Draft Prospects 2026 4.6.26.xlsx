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mer\OneDrive\Faith\Football Binge\"/>
    </mc:Choice>
  </mc:AlternateContent>
  <xr:revisionPtr revIDLastSave="0" documentId="13_ncr:1_{A65E66C3-4065-485B-9452-F999EE6B759A}" xr6:coauthVersionLast="47" xr6:coauthVersionMax="47" xr10:uidLastSave="{00000000-0000-0000-0000-000000000000}"/>
  <bookViews>
    <workbookView xWindow="0" yWindow="0" windowWidth="19200" windowHeight="21000" activeTab="2" xr2:uid="{00000000-000D-0000-FFFF-FFFF00000000}"/>
  </bookViews>
  <sheets>
    <sheet name="Offense" sheetId="9" r:id="rId1"/>
    <sheet name="Defense" sheetId="11" r:id="rId2"/>
    <sheet name="Main" sheetId="1" r:id="rId3"/>
    <sheet name="Pivot" sheetId="5" r:id="rId4"/>
    <sheet name="Year v Year" sheetId="6" r:id="rId5"/>
  </sheets>
  <definedNames>
    <definedName name="_xlnm._FilterDatabase" localSheetId="2" hidden="1">Main!$A$1:$X$314</definedName>
  </definedNames>
  <calcPr calcId="191029"/>
  <pivotCaches>
    <pivotCache cacheId="19" r:id="rId6"/>
    <pivotCache cacheId="2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6" l="1"/>
  <c r="AE6" i="6"/>
  <c r="AE7" i="6"/>
  <c r="AE8" i="6"/>
  <c r="AE9" i="6"/>
  <c r="AE11" i="6"/>
  <c r="AE12" i="6"/>
  <c r="AE13" i="6"/>
  <c r="AE14" i="6"/>
  <c r="AE15" i="6"/>
  <c r="AE4" i="6"/>
  <c r="AB16" i="6"/>
  <c r="AC16" i="6"/>
  <c r="AD16" i="6"/>
  <c r="R16" i="6"/>
  <c r="S16" i="6"/>
  <c r="T16" i="6"/>
  <c r="Y16" i="6"/>
  <c r="Z16" i="6"/>
  <c r="X16" i="6"/>
</calcChain>
</file>

<file path=xl/sharedStrings.xml><?xml version="1.0" encoding="utf-8"?>
<sst xmlns="http://schemas.openxmlformats.org/spreadsheetml/2006/main" count="2907" uniqueCount="864">
  <si>
    <t>Position</t>
  </si>
  <si>
    <t>Rd</t>
  </si>
  <si>
    <t>Rank</t>
  </si>
  <si>
    <t>Player</t>
  </si>
  <si>
    <t>School</t>
  </si>
  <si>
    <t>Height</t>
  </si>
  <si>
    <t>Weight</t>
  </si>
  <si>
    <t>Hand</t>
  </si>
  <si>
    <t>Arm</t>
  </si>
  <si>
    <t>40-yard dash</t>
  </si>
  <si>
    <t>10-yard split</t>
  </si>
  <si>
    <t>Vertical (in)</t>
  </si>
  <si>
    <t>Broad (ft-in)</t>
  </si>
  <si>
    <t>3-cone</t>
  </si>
  <si>
    <t>Shuttle</t>
  </si>
  <si>
    <t>Bench (reps)</t>
  </si>
  <si>
    <t>QB</t>
  </si>
  <si>
    <t>Fernando Mendoza</t>
  </si>
  <si>
    <t>Indiana</t>
  </si>
  <si>
    <t>6-4 ¾</t>
  </si>
  <si>
    <t>9 ½</t>
  </si>
  <si>
    <t>31 ⅞</t>
  </si>
  <si>
    <t>S</t>
  </si>
  <si>
    <t>Caleb Downs</t>
  </si>
  <si>
    <t>Ohio State</t>
  </si>
  <si>
    <t>5-11 ⅝</t>
  </si>
  <si>
    <t>30 ¼</t>
  </si>
  <si>
    <t>RB</t>
  </si>
  <si>
    <t>Jeremiyah Love</t>
  </si>
  <si>
    <t>Notre Dame</t>
  </si>
  <si>
    <t>6-01</t>
  </si>
  <si>
    <t>9 ⅛</t>
  </si>
  <si>
    <t>WR</t>
  </si>
  <si>
    <t>Jordyn Tyson</t>
  </si>
  <si>
    <t>Arizona State</t>
  </si>
  <si>
    <t>6-2 ⅛</t>
  </si>
  <si>
    <t>EDGE</t>
  </si>
  <si>
    <t>Arvell Reese</t>
  </si>
  <si>
    <t>6-4 ⅛</t>
  </si>
  <si>
    <t>9½</t>
  </si>
  <si>
    <t>32½</t>
  </si>
  <si>
    <t>Ty Simpson</t>
  </si>
  <si>
    <t>Alabama</t>
  </si>
  <si>
    <t>6-1 ⅛</t>
  </si>
  <si>
    <t>9 ⅜</t>
  </si>
  <si>
    <t>30 ⅞</t>
  </si>
  <si>
    <t>Carnell Tate</t>
  </si>
  <si>
    <t>6-2 ¼</t>
  </si>
  <si>
    <t>10 ¼</t>
  </si>
  <si>
    <t>31 ¾</t>
  </si>
  <si>
    <t>Rueben Bain Jr.</t>
  </si>
  <si>
    <t>Miami</t>
  </si>
  <si>
    <t>9⅛</t>
  </si>
  <si>
    <t>30⅞</t>
  </si>
  <si>
    <t>OT</t>
  </si>
  <si>
    <t>Francis Mauigoa</t>
  </si>
  <si>
    <t>6-5½</t>
  </si>
  <si>
    <t>10⅝</t>
  </si>
  <si>
    <t>33¼</t>
  </si>
  <si>
    <t>CB</t>
  </si>
  <si>
    <t>Mansoor Delane</t>
  </si>
  <si>
    <t>LSU</t>
  </si>
  <si>
    <t>5-11 ¾</t>
  </si>
  <si>
    <t>8 ⅞</t>
  </si>
  <si>
    <t>DL</t>
  </si>
  <si>
    <t>Peter Woods</t>
  </si>
  <si>
    <t>Clemson</t>
  </si>
  <si>
    <t>6-2 ½</t>
  </si>
  <si>
    <t>31¼</t>
  </si>
  <si>
    <t>LB</t>
  </si>
  <si>
    <t>Sonny Styles</t>
  </si>
  <si>
    <t>6-5</t>
  </si>
  <si>
    <t>32⅞</t>
  </si>
  <si>
    <t>11-2</t>
  </si>
  <si>
    <t>Makai Lemon</t>
  </si>
  <si>
    <t>USC</t>
  </si>
  <si>
    <t>5-11 ⅛</t>
  </si>
  <si>
    <t>8 ¾</t>
  </si>
  <si>
    <t>30 ½</t>
  </si>
  <si>
    <t>Jermod McCoy</t>
  </si>
  <si>
    <t>Tennessee</t>
  </si>
  <si>
    <t>6-0 ¾</t>
  </si>
  <si>
    <t>31 ¼</t>
  </si>
  <si>
    <t>IOL</t>
  </si>
  <si>
    <t>Olaivavega Ioane</t>
  </si>
  <si>
    <t>Penn State</t>
  </si>
  <si>
    <t>6-4¼</t>
  </si>
  <si>
    <t>10½</t>
  </si>
  <si>
    <t>32¾</t>
  </si>
  <si>
    <t>8-8</t>
  </si>
  <si>
    <t>Spencer Fano</t>
  </si>
  <si>
    <t>Utah</t>
  </si>
  <si>
    <t>32⅛</t>
  </si>
  <si>
    <t>9-3</t>
  </si>
  <si>
    <t>Vincent Anthony Jr.</t>
  </si>
  <si>
    <t>Duke</t>
  </si>
  <si>
    <t>6-6</t>
  </si>
  <si>
    <t>34⅛</t>
  </si>
  <si>
    <t>10-3</t>
  </si>
  <si>
    <t>TE</t>
  </si>
  <si>
    <t>Kenyon Sadiq</t>
  </si>
  <si>
    <t>Oregon</t>
  </si>
  <si>
    <t>6-3 ⅛</t>
  </si>
  <si>
    <t>31 ½</t>
  </si>
  <si>
    <t>11-1</t>
  </si>
  <si>
    <t>David Bailey</t>
  </si>
  <si>
    <t>Texas Tech</t>
  </si>
  <si>
    <t>6-3 ½</t>
  </si>
  <si>
    <t>10¼</t>
  </si>
  <si>
    <t>33⅝</t>
  </si>
  <si>
    <t>10-9</t>
  </si>
  <si>
    <t>Avieon Terrell</t>
  </si>
  <si>
    <t>5-10 ¾</t>
  </si>
  <si>
    <t>8 ⅝</t>
  </si>
  <si>
    <t>CJ Allen</t>
  </si>
  <si>
    <t>Georgia</t>
  </si>
  <si>
    <t>10⅛</t>
  </si>
  <si>
    <t>31½</t>
  </si>
  <si>
    <t>Garrett Nussmeier</t>
  </si>
  <si>
    <t>6-2</t>
  </si>
  <si>
    <t>30 ⅜</t>
  </si>
  <si>
    <t>Kayden McDonald</t>
  </si>
  <si>
    <t>9⅝</t>
  </si>
  <si>
    <t>32¼</t>
  </si>
  <si>
    <t>Emmanuel McNeil-Warren</t>
  </si>
  <si>
    <t>Toledo</t>
  </si>
  <si>
    <t>9 ¼</t>
  </si>
  <si>
    <t>32 ⅛</t>
  </si>
  <si>
    <t>10-2</t>
  </si>
  <si>
    <t>Denzel Boston</t>
  </si>
  <si>
    <t>Washington</t>
  </si>
  <si>
    <t>6-3 ⅝</t>
  </si>
  <si>
    <t>9 ⅝</t>
  </si>
  <si>
    <t>Caleb Lomu</t>
  </si>
  <si>
    <t>6-6¼</t>
  </si>
  <si>
    <t>33⅜</t>
  </si>
  <si>
    <t>9-5</t>
  </si>
  <si>
    <t>KC Concepcion</t>
  </si>
  <si>
    <t>Texas A&amp;M</t>
  </si>
  <si>
    <t>Brandon Cisse</t>
  </si>
  <si>
    <t>South Carolina</t>
  </si>
  <si>
    <t>30 ⅝</t>
  </si>
  <si>
    <t>10-11</t>
  </si>
  <si>
    <t>Dillon Thieneman</t>
  </si>
  <si>
    <t>6-0 ⅛</t>
  </si>
  <si>
    <t>31 ⅜</t>
  </si>
  <si>
    <t>10-5</t>
  </si>
  <si>
    <t>Lee Hunter</t>
  </si>
  <si>
    <t>9¼</t>
  </si>
  <si>
    <t>8-4</t>
  </si>
  <si>
    <t>Chris Brazzell II</t>
  </si>
  <si>
    <t>6-4</t>
  </si>
  <si>
    <t>32 ⅜</t>
  </si>
  <si>
    <t>Omar Cooper Jr.</t>
  </si>
  <si>
    <t>Max Klare</t>
  </si>
  <si>
    <t>6-4 ⅜</t>
  </si>
  <si>
    <t>Drew Allar</t>
  </si>
  <si>
    <t>6-5 ¼</t>
  </si>
  <si>
    <t>9 ⅞</t>
  </si>
  <si>
    <t>32 ¾</t>
  </si>
  <si>
    <t>Elijah Sarratt</t>
  </si>
  <si>
    <t>Connor Lew</t>
  </si>
  <si>
    <t>Auburn</t>
  </si>
  <si>
    <t>6-3⅜</t>
  </si>
  <si>
    <t>32⅜</t>
  </si>
  <si>
    <t>Jake Golday</t>
  </si>
  <si>
    <t>Cincinnati</t>
  </si>
  <si>
    <t>6-4 ½</t>
  </si>
  <si>
    <t>31⅞</t>
  </si>
  <si>
    <t>Chase Bisontis</t>
  </si>
  <si>
    <t>6-5¼</t>
  </si>
  <si>
    <t>9¾</t>
  </si>
  <si>
    <t>31¾</t>
  </si>
  <si>
    <t>8-9</t>
  </si>
  <si>
    <t>Caleb Banks</t>
  </si>
  <si>
    <t>Florida</t>
  </si>
  <si>
    <t>6-6 ¼</t>
  </si>
  <si>
    <t>10⅞</t>
  </si>
  <si>
    <t>9-6</t>
  </si>
  <si>
    <t>Kadyn Proctor</t>
  </si>
  <si>
    <t>6-6⅝</t>
  </si>
  <si>
    <t>9-1</t>
  </si>
  <si>
    <t>Germie Bernard</t>
  </si>
  <si>
    <t>6-1¼</t>
  </si>
  <si>
    <t>Josiah Trotter</t>
  </si>
  <si>
    <t>Missouri</t>
  </si>
  <si>
    <t>Diego Pavia</t>
  </si>
  <si>
    <t>Vanderbilt</t>
  </si>
  <si>
    <t>5-10</t>
  </si>
  <si>
    <t>28 ⅝</t>
  </si>
  <si>
    <t>Jacob Rodriguez</t>
  </si>
  <si>
    <t>6-1</t>
  </si>
  <si>
    <t>10-1</t>
  </si>
  <si>
    <t>Eli Stowers</t>
  </si>
  <si>
    <t>6-3 ¾</t>
  </si>
  <si>
    <t>32 ⅝</t>
  </si>
  <si>
    <t>11-3</t>
  </si>
  <si>
    <t>Jadarian Price</t>
  </si>
  <si>
    <t>5-10 ⅝</t>
  </si>
  <si>
    <t>10-4</t>
  </si>
  <si>
    <t>Michael Trigg</t>
  </si>
  <si>
    <t>Baylor</t>
  </si>
  <si>
    <t>10 ½</t>
  </si>
  <si>
    <t>34 ¼</t>
  </si>
  <si>
    <t>Emmett Johnson</t>
  </si>
  <si>
    <t>Nebraska</t>
  </si>
  <si>
    <t>5-10 ¼</t>
  </si>
  <si>
    <t>Zachariah Branch</t>
  </si>
  <si>
    <t>5-8 ⅝</t>
  </si>
  <si>
    <t>29 ⅜</t>
  </si>
  <si>
    <t>Chris Bell</t>
  </si>
  <si>
    <t>Louisville</t>
  </si>
  <si>
    <t>6-1 ⅞</t>
  </si>
  <si>
    <t>Skyler Bell</t>
  </si>
  <si>
    <t>UConn</t>
  </si>
  <si>
    <t>31 ⅛</t>
  </si>
  <si>
    <t>Antonio Williams</t>
  </si>
  <si>
    <t>5-11 ½</t>
  </si>
  <si>
    <t>Colton Hood</t>
  </si>
  <si>
    <t>Christen Miller</t>
  </si>
  <si>
    <t>Joe Royer</t>
  </si>
  <si>
    <t>10 ¾</t>
  </si>
  <si>
    <t>Marlin Klein</t>
  </si>
  <si>
    <t>Michigan</t>
  </si>
  <si>
    <t>9-9</t>
  </si>
  <si>
    <t>Jonah Coleman</t>
  </si>
  <si>
    <t>5-8</t>
  </si>
  <si>
    <t>28 ⅞</t>
  </si>
  <si>
    <t>D'Angelo Ponds</t>
  </si>
  <si>
    <t>Dontay Corleone</t>
  </si>
  <si>
    <t>6-0 ⅝</t>
  </si>
  <si>
    <t>Cade Klubnik</t>
  </si>
  <si>
    <t>Carson Beck</t>
  </si>
  <si>
    <t>Blake Miller</t>
  </si>
  <si>
    <t>6-6¾</t>
  </si>
  <si>
    <t>34¼</t>
  </si>
  <si>
    <t>Monroe Freeling</t>
  </si>
  <si>
    <t>6-7⅜</t>
  </si>
  <si>
    <t>10¾</t>
  </si>
  <si>
    <t>34¾</t>
  </si>
  <si>
    <t>9-7</t>
  </si>
  <si>
    <t>Nicholas Singleton</t>
  </si>
  <si>
    <t>Kaytron Allen</t>
  </si>
  <si>
    <t>5-11</t>
  </si>
  <si>
    <t>29 ½</t>
  </si>
  <si>
    <t>Mike Washington</t>
  </si>
  <si>
    <t>Arkansas</t>
  </si>
  <si>
    <t>33 ⅝</t>
  </si>
  <si>
    <t>10-8</t>
  </si>
  <si>
    <t>Behren Morton</t>
  </si>
  <si>
    <t>Ja'Kobi Lane</t>
  </si>
  <si>
    <t>Jack Endries</t>
  </si>
  <si>
    <t>Texas</t>
  </si>
  <si>
    <t>6-4 ⅝</t>
  </si>
  <si>
    <t>9-11</t>
  </si>
  <si>
    <t>Noah Whittington</t>
  </si>
  <si>
    <t>8 ¼</t>
  </si>
  <si>
    <t>29 ⅛</t>
  </si>
  <si>
    <t>Brenen Thompson</t>
  </si>
  <si>
    <t>Mississippi State</t>
  </si>
  <si>
    <t>5-9 ⅜</t>
  </si>
  <si>
    <t>Jalon Daniels</t>
  </si>
  <si>
    <t>Kansas</t>
  </si>
  <si>
    <t>Haynes King</t>
  </si>
  <si>
    <t>Georgia Tech</t>
  </si>
  <si>
    <t>6-2 ⅜</t>
  </si>
  <si>
    <t>9-8</t>
  </si>
  <si>
    <t>Chris Adams</t>
  </si>
  <si>
    <t>Memphis</t>
  </si>
  <si>
    <t>10⅜</t>
  </si>
  <si>
    <t>Nate Boerkircher</t>
  </si>
  <si>
    <t>6-5 ½</t>
  </si>
  <si>
    <t>Austin Barber</t>
  </si>
  <si>
    <t>6-6⅞</t>
  </si>
  <si>
    <t>33⅛</t>
  </si>
  <si>
    <t>Eric McAlister</t>
  </si>
  <si>
    <t>TCU</t>
  </si>
  <si>
    <t>Le'Veon Moss</t>
  </si>
  <si>
    <t>Deion Burks</t>
  </si>
  <si>
    <t>Oklahoma</t>
  </si>
  <si>
    <t>5-9 ¾</t>
  </si>
  <si>
    <t>Justin Joly</t>
  </si>
  <si>
    <t>NC State</t>
  </si>
  <si>
    <t>32 ¼</t>
  </si>
  <si>
    <t>Malachi Fields</t>
  </si>
  <si>
    <t>Oscar Delp</t>
  </si>
  <si>
    <t>31 ⅝</t>
  </si>
  <si>
    <t>Dillon Bell</t>
  </si>
  <si>
    <t>10-6</t>
  </si>
  <si>
    <t>Eric Rivers</t>
  </si>
  <si>
    <t>10-7</t>
  </si>
  <si>
    <t>Colbie Young</t>
  </si>
  <si>
    <t>J'Mari Taylor</t>
  </si>
  <si>
    <t>Virginia</t>
  </si>
  <si>
    <t>Rahsul Faison</t>
  </si>
  <si>
    <t>Jam Miller</t>
  </si>
  <si>
    <t>Kevin Coleman Jr.</t>
  </si>
  <si>
    <t>Desmond Reid</t>
  </si>
  <si>
    <t>Pittsburgh</t>
  </si>
  <si>
    <t>5-6</t>
  </si>
  <si>
    <t>28 ⅛</t>
  </si>
  <si>
    <t>Demond Claiborne</t>
  </si>
  <si>
    <t>Wake Forest</t>
  </si>
  <si>
    <t>30 ⅛</t>
  </si>
  <si>
    <t>Eli Heidenreich</t>
  </si>
  <si>
    <t>Navy</t>
  </si>
  <si>
    <t>29 ¼</t>
  </si>
  <si>
    <t>Roman Hemby</t>
  </si>
  <si>
    <t>Seth McGowan</t>
  </si>
  <si>
    <t>Kentucky</t>
  </si>
  <si>
    <t>6-0 ¼</t>
  </si>
  <si>
    <t>Josh Cameron</t>
  </si>
  <si>
    <t>6-1 ½</t>
  </si>
  <si>
    <t>33 ⅛</t>
  </si>
  <si>
    <t>Luke Altmyer</t>
  </si>
  <si>
    <t>Illinois</t>
  </si>
  <si>
    <t>6-1 ¾</t>
  </si>
  <si>
    <t>29 ⅞</t>
  </si>
  <si>
    <t>Jaren Kanak</t>
  </si>
  <si>
    <t>Max Bredeson</t>
  </si>
  <si>
    <t>CJ Donaldson</t>
  </si>
  <si>
    <t>Riley Nowakowski</t>
  </si>
  <si>
    <t>Cole Payton</t>
  </si>
  <si>
    <t>North Dakota State</t>
  </si>
  <si>
    <t>6-2 ⅝</t>
  </si>
  <si>
    <t>10-10</t>
  </si>
  <si>
    <t>Joey Aguilar</t>
  </si>
  <si>
    <t>6-3</t>
  </si>
  <si>
    <t>Joe Fagnano</t>
  </si>
  <si>
    <t>6-3 ¼</t>
  </si>
  <si>
    <t>9-10</t>
  </si>
  <si>
    <t>Josh Cuevas</t>
  </si>
  <si>
    <t>6-3 ⅜</t>
  </si>
  <si>
    <t>Adam Randall</t>
  </si>
  <si>
    <t>Bryce Lance</t>
  </si>
  <si>
    <t>Caleb Douglas</t>
  </si>
  <si>
    <t>10 ⅛</t>
  </si>
  <si>
    <t>32 ½</t>
  </si>
  <si>
    <t>Ted Hurst</t>
  </si>
  <si>
    <t>Georgia State</t>
  </si>
  <si>
    <t>6-3 ⅞</t>
  </si>
  <si>
    <t>Sawyer Robertson</t>
  </si>
  <si>
    <t>6-3¾</t>
  </si>
  <si>
    <t>Dae'Quan Wright</t>
  </si>
  <si>
    <t>Ole Miss</t>
  </si>
  <si>
    <t>DJ Rogers</t>
  </si>
  <si>
    <t>Lake McRee</t>
  </si>
  <si>
    <t>Dallen Bentley</t>
  </si>
  <si>
    <t>RJ Maryland</t>
  </si>
  <si>
    <t>SMU</t>
  </si>
  <si>
    <t>Matthew Hibner</t>
  </si>
  <si>
    <t>6-4 ¼</t>
  </si>
  <si>
    <t>Khalil Dinkins</t>
  </si>
  <si>
    <t>33 ¼</t>
  </si>
  <si>
    <t>Donaven McCulley</t>
  </si>
  <si>
    <t>Bauer Sharp</t>
  </si>
  <si>
    <t>Miles Kitselman</t>
  </si>
  <si>
    <t>6-5 ⅛</t>
  </si>
  <si>
    <t>Will Kacmarek</t>
  </si>
  <si>
    <t>John Michael Gyllenborg</t>
  </si>
  <si>
    <t>Wyoming</t>
  </si>
  <si>
    <t>6-5 ¾</t>
  </si>
  <si>
    <t>Taylen Green</t>
  </si>
  <si>
    <t>6-5 ⅞</t>
  </si>
  <si>
    <t>34 ¾</t>
  </si>
  <si>
    <t>Sam Roush</t>
  </si>
  <si>
    <t>Stanford</t>
  </si>
  <si>
    <t>Eli Raridon</t>
  </si>
  <si>
    <t>6-6 ⅛</t>
  </si>
  <si>
    <t>Tanner Koziol</t>
  </si>
  <si>
    <t>Houston</t>
  </si>
  <si>
    <t>6-6 ½</t>
  </si>
  <si>
    <t>33 ¾</t>
  </si>
  <si>
    <t>Emmanuel Henderson Jr.</t>
  </si>
  <si>
    <t>8 ⅜</t>
  </si>
  <si>
    <t>Aaron Anderson</t>
  </si>
  <si>
    <t>29 ¾</t>
  </si>
  <si>
    <t>Caullin Lacy</t>
  </si>
  <si>
    <t>Malik Benson</t>
  </si>
  <si>
    <t>Chris Hilton Jr.</t>
  </si>
  <si>
    <t>Chase Roberts</t>
  </si>
  <si>
    <t>BYU</t>
  </si>
  <si>
    <t>Reggie Virgil</t>
  </si>
  <si>
    <t>De'Zhaun Stribling</t>
  </si>
  <si>
    <t>Kendrick Law</t>
  </si>
  <si>
    <t>J. Michael Sturdivant</t>
  </si>
  <si>
    <t>32 ⅞</t>
  </si>
  <si>
    <t>Jalen Walthall</t>
  </si>
  <si>
    <t>Incarnate Word</t>
  </si>
  <si>
    <t>Jeff Caldwell</t>
  </si>
  <si>
    <t>Vinny Anthony II</t>
  </si>
  <si>
    <t>Wisconsin</t>
  </si>
  <si>
    <t>Barion Brown</t>
  </si>
  <si>
    <t>Zavion Thomas</t>
  </si>
  <si>
    <t>CJ Daniels</t>
  </si>
  <si>
    <t>Harrison Wallace III</t>
  </si>
  <si>
    <t>Kaden Wetjen</t>
  </si>
  <si>
    <t>Iowa</t>
  </si>
  <si>
    <t>8 ½</t>
  </si>
  <si>
    <t>29 ⅝</t>
  </si>
  <si>
    <t>Jordan Hudson</t>
  </si>
  <si>
    <t>Toriano Pride Jr.</t>
  </si>
  <si>
    <t>Keith Abney</t>
  </si>
  <si>
    <t>Avery Smith</t>
  </si>
  <si>
    <t>5-10 ½</t>
  </si>
  <si>
    <t>Jadon Canady</t>
  </si>
  <si>
    <t>Dalton Johnson</t>
  </si>
  <si>
    <t>Arizona</t>
  </si>
  <si>
    <t>Jaylon Guilbeau</t>
  </si>
  <si>
    <t>Ahmari Harvey</t>
  </si>
  <si>
    <t>Bishop Fitzgerald</t>
  </si>
  <si>
    <t>Louis Moore</t>
  </si>
  <si>
    <t>Taurean York</t>
  </si>
  <si>
    <t>8⅜</t>
  </si>
  <si>
    <t>Keionte Scott</t>
  </si>
  <si>
    <t>5-11 ¼</t>
  </si>
  <si>
    <t>Ahmaad Moses</t>
  </si>
  <si>
    <t>5-9</t>
  </si>
  <si>
    <t>Robert Henry</t>
  </si>
  <si>
    <t>UTSA</t>
  </si>
  <si>
    <t>5-9 ¼</t>
  </si>
  <si>
    <t>Chandler Rivers</t>
  </si>
  <si>
    <t>5-9 ½</t>
  </si>
  <si>
    <t>9 ¾</t>
  </si>
  <si>
    <t>Kamari Ramsey</t>
  </si>
  <si>
    <t>Justin Jefferson</t>
  </si>
  <si>
    <t>31⅝</t>
  </si>
  <si>
    <t>Chris Johnson</t>
  </si>
  <si>
    <t>San Diego State</t>
  </si>
  <si>
    <t>Bud Clark</t>
  </si>
  <si>
    <t>Kyle Louis</t>
  </si>
  <si>
    <t>Malik Muhammad</t>
  </si>
  <si>
    <t>Collin Wright</t>
  </si>
  <si>
    <t>A.J. Haulcy</t>
  </si>
  <si>
    <t>Michael Taaffe</t>
  </si>
  <si>
    <t>Lorenzo Styles</t>
  </si>
  <si>
    <t>6-0 ½</t>
  </si>
  <si>
    <t>Charles Demmings</t>
  </si>
  <si>
    <t>Stephen F. Austin</t>
  </si>
  <si>
    <t>Tim Keenan</t>
  </si>
  <si>
    <t>8⅝</t>
  </si>
  <si>
    <t>30½</t>
  </si>
  <si>
    <t>Zane Durant</t>
  </si>
  <si>
    <t>9-4</t>
  </si>
  <si>
    <t>Albert Regis</t>
  </si>
  <si>
    <t>Hezekiah Masses</t>
  </si>
  <si>
    <t>California</t>
  </si>
  <si>
    <t>Daylen Everette</t>
  </si>
  <si>
    <t>Thaddeus Dixon</t>
  </si>
  <si>
    <t>North Carolina</t>
  </si>
  <si>
    <t>Andre Fuller</t>
  </si>
  <si>
    <t>Treydan Stukes</t>
  </si>
  <si>
    <t>Jalon Kilgore</t>
  </si>
  <si>
    <t>TJ Hall</t>
  </si>
  <si>
    <t>Domani Jackson</t>
  </si>
  <si>
    <t>Jalen Huskey</t>
  </si>
  <si>
    <t>Maryland</t>
  </si>
  <si>
    <t>Skyler Gill-Howard</t>
  </si>
  <si>
    <t>30⅝</t>
  </si>
  <si>
    <t>Gary Smith III</t>
  </si>
  <si>
    <t>UCLA</t>
  </si>
  <si>
    <t>32⅝</t>
  </si>
  <si>
    <t>Harold Perkins Jr.</t>
  </si>
  <si>
    <t>8⅛</t>
  </si>
  <si>
    <t>31⅜</t>
  </si>
  <si>
    <t>Bryce Boettcher</t>
  </si>
  <si>
    <t>Aiden Fisher</t>
  </si>
  <si>
    <t>31⅛</t>
  </si>
  <si>
    <t>Jakobe Thomas</t>
  </si>
  <si>
    <t>6-1 ¼</t>
  </si>
  <si>
    <t>10 ⅝</t>
  </si>
  <si>
    <t>Will Lee III</t>
  </si>
  <si>
    <t>Owen Heinecke</t>
  </si>
  <si>
    <t>30⅛</t>
  </si>
  <si>
    <t>Karson Sharar</t>
  </si>
  <si>
    <t>6-1 ⅝</t>
  </si>
  <si>
    <t>Xavian Sorey</t>
  </si>
  <si>
    <t>Davison Igbinosun</t>
  </si>
  <si>
    <t>Trey Moore</t>
  </si>
  <si>
    <t>Bryson Eason</t>
  </si>
  <si>
    <t>Kaleb Proctor</t>
  </si>
  <si>
    <t>Southeastern Louisiana</t>
  </si>
  <si>
    <t>Parker Brailsford</t>
  </si>
  <si>
    <t>Nadame Tucker</t>
  </si>
  <si>
    <t>Western Michigan</t>
  </si>
  <si>
    <t>Marcus Allen</t>
  </si>
  <si>
    <t>Kaleb Elarms-Orr</t>
  </si>
  <si>
    <t>Robert Spears-Jennings</t>
  </si>
  <si>
    <t>10 ⅜</t>
  </si>
  <si>
    <t>Anthony Hill</t>
  </si>
  <si>
    <t>Keyshaun Elliott</t>
  </si>
  <si>
    <t>Jack Kelly</t>
  </si>
  <si>
    <t>Latrell McCutchin</t>
  </si>
  <si>
    <t>Julian Neal</t>
  </si>
  <si>
    <t>Tyreak Sapp</t>
  </si>
  <si>
    <t>Domonique Orange</t>
  </si>
  <si>
    <t>Iowa State</t>
  </si>
  <si>
    <t>David Gusta</t>
  </si>
  <si>
    <t>Damonic Williams</t>
  </si>
  <si>
    <t>Red Murdock</t>
  </si>
  <si>
    <t>Buffalo</t>
  </si>
  <si>
    <t>Scooby Williams</t>
  </si>
  <si>
    <t>Wesley Bissainthe</t>
  </si>
  <si>
    <t>Genesis Smith</t>
  </si>
  <si>
    <t>Xavier Nwankpa</t>
  </si>
  <si>
    <t>30 ¾</t>
  </si>
  <si>
    <t>R Mason Thomas</t>
  </si>
  <si>
    <t>8⅞</t>
  </si>
  <si>
    <t>Cashius Howell</t>
  </si>
  <si>
    <t>30¼</t>
  </si>
  <si>
    <t>Jimmy Rolder</t>
  </si>
  <si>
    <t>Jackie Marshall</t>
  </si>
  <si>
    <t>Gracen Halton</t>
  </si>
  <si>
    <t>Logan Jones</t>
  </si>
  <si>
    <t>6-2⅞</t>
  </si>
  <si>
    <t>30¾</t>
  </si>
  <si>
    <t>9-2</t>
  </si>
  <si>
    <t>Nick Barrett</t>
  </si>
  <si>
    <t>DJ Campbell</t>
  </si>
  <si>
    <t>Dillon Wade</t>
  </si>
  <si>
    <t>Namdi Obiazor</t>
  </si>
  <si>
    <t>Zakee Wheatley</t>
  </si>
  <si>
    <t>Romello Height</t>
  </si>
  <si>
    <t>VJ Payne</t>
  </si>
  <si>
    <t>Kansas State</t>
  </si>
  <si>
    <t>DeShon Singleton</t>
  </si>
  <si>
    <t>Akheem Mesidor</t>
  </si>
  <si>
    <t>Joshua Josephs</t>
  </si>
  <si>
    <t>Caden Curry</t>
  </si>
  <si>
    <t>9⅜</t>
  </si>
  <si>
    <t>Quintayvious Hutchins</t>
  </si>
  <si>
    <t>Boston College</t>
  </si>
  <si>
    <t>Rayshaun Benny</t>
  </si>
  <si>
    <t>LT Overton</t>
  </si>
  <si>
    <t>Brandon Cleveland</t>
  </si>
  <si>
    <t>Bobby Jamison-Travis</t>
  </si>
  <si>
    <t>Deontae Lawson</t>
  </si>
  <si>
    <t>Wade Woodaz</t>
  </si>
  <si>
    <t>Devin Moore</t>
  </si>
  <si>
    <t>Ephesians Prysock</t>
  </si>
  <si>
    <t>T.J. Parker</t>
  </si>
  <si>
    <t>Tyler Onyedim</t>
  </si>
  <si>
    <t>Jaishawn Barham</t>
  </si>
  <si>
    <t>Tacario Davis</t>
  </si>
  <si>
    <t>33 ⅜</t>
  </si>
  <si>
    <t>Evan Beerntsen</t>
  </si>
  <si>
    <t>Northwestern</t>
  </si>
  <si>
    <t>6-3½</t>
  </si>
  <si>
    <t>Chris McClellan</t>
  </si>
  <si>
    <t>Wesley Williams</t>
  </si>
  <si>
    <t>Keylan Rutledge</t>
  </si>
  <si>
    <t>Febechi Nwaiwu</t>
  </si>
  <si>
    <t>Cameron Ball</t>
  </si>
  <si>
    <t>Jager Burton</t>
  </si>
  <si>
    <t>George Gumbs</t>
  </si>
  <si>
    <t>Malachi Lawrence</t>
  </si>
  <si>
    <t>UCF</t>
  </si>
  <si>
    <t>Matt Gulbin</t>
  </si>
  <si>
    <t>Michigan State</t>
  </si>
  <si>
    <t>Gabe Jacas</t>
  </si>
  <si>
    <t>Keyron Crawford</t>
  </si>
  <si>
    <t>Derrick Moore</t>
  </si>
  <si>
    <t>Jack Pyburn</t>
  </si>
  <si>
    <t>Aidan Hubbard</t>
  </si>
  <si>
    <t>Sam Hecht</t>
  </si>
  <si>
    <t>6-4⅛</t>
  </si>
  <si>
    <t>9⅞</t>
  </si>
  <si>
    <t>8-5</t>
  </si>
  <si>
    <t>Emmanuel Pregnon</t>
  </si>
  <si>
    <t>J.C. Davis</t>
  </si>
  <si>
    <t>6-4⅜</t>
  </si>
  <si>
    <t>8-3</t>
  </si>
  <si>
    <t>Jalen Farmer</t>
  </si>
  <si>
    <t>6-4⅞</t>
  </si>
  <si>
    <t>Carver Willis</t>
  </si>
  <si>
    <t>Gennings Dunker</t>
  </si>
  <si>
    <t>33½</t>
  </si>
  <si>
    <t>Fernando Carmona</t>
  </si>
  <si>
    <t>8-7</t>
  </si>
  <si>
    <t>Fa'alili Fa'amoe</t>
  </si>
  <si>
    <t>33⅞</t>
  </si>
  <si>
    <t>DeMonte Capehart</t>
  </si>
  <si>
    <t>8-11</t>
  </si>
  <si>
    <t>Jake Slaughter</t>
  </si>
  <si>
    <t>Drew Shelton</t>
  </si>
  <si>
    <t>Deven Eastern</t>
  </si>
  <si>
    <t>Minnesota</t>
  </si>
  <si>
    <t>Nyjalik Kelly</t>
  </si>
  <si>
    <t>35⅛</t>
  </si>
  <si>
    <t>Mason Reiger</t>
  </si>
  <si>
    <t>Keagen Trost</t>
  </si>
  <si>
    <t>Billy Schrauth</t>
  </si>
  <si>
    <t>Pat Coogan</t>
  </si>
  <si>
    <t>Jaeden Roberts</t>
  </si>
  <si>
    <t>Jeremiah Wright</t>
  </si>
  <si>
    <t>34½</t>
  </si>
  <si>
    <t>Logan Fano</t>
  </si>
  <si>
    <t>Patrick Payton</t>
  </si>
  <si>
    <t>Marvin Jones Jr.</t>
  </si>
  <si>
    <t>Lander Barton</t>
  </si>
  <si>
    <t>Kendal Daniels</t>
  </si>
  <si>
    <t>Anthony Lucas</t>
  </si>
  <si>
    <t>Darrell Jackson Jr.</t>
  </si>
  <si>
    <t>Florida State</t>
  </si>
  <si>
    <t>6-5 ⅝</t>
  </si>
  <si>
    <t>Keldric Faulk</t>
  </si>
  <si>
    <t>34⅜</t>
  </si>
  <si>
    <t>Jude Bowry</t>
  </si>
  <si>
    <t>6-5⅛</t>
  </si>
  <si>
    <t>33¾</t>
  </si>
  <si>
    <t>Brian Parker II</t>
  </si>
  <si>
    <t>Micah Morris</t>
  </si>
  <si>
    <t>Alan Herron</t>
  </si>
  <si>
    <t>Beau Stephens</t>
  </si>
  <si>
    <t>8-6</t>
  </si>
  <si>
    <t>Enrique Cruz Jr.</t>
  </si>
  <si>
    <t>Aamil Wagner</t>
  </si>
  <si>
    <t>6-5⅞</t>
  </si>
  <si>
    <t>Max Iheanachor</t>
  </si>
  <si>
    <t>Ar'maj Reed-Adams</t>
  </si>
  <si>
    <t>Diego Pounds</t>
  </si>
  <si>
    <t>Max Llewellyn</t>
  </si>
  <si>
    <t>Dani Dennis-Sutton</t>
  </si>
  <si>
    <t>Kage Casey</t>
  </si>
  <si>
    <t>Boise State</t>
  </si>
  <si>
    <t>Alex Harkey</t>
  </si>
  <si>
    <t>Anez Cooper</t>
  </si>
  <si>
    <t>Joshua Braun</t>
  </si>
  <si>
    <t>34⅝</t>
  </si>
  <si>
    <t>Zion Young</t>
  </si>
  <si>
    <t>Trey Zuhn III</t>
  </si>
  <si>
    <t>6-6½</t>
  </si>
  <si>
    <t>Garrett DiGiorgio</t>
  </si>
  <si>
    <t>8-10</t>
  </si>
  <si>
    <t>Logan Taylor</t>
  </si>
  <si>
    <t>6-7</t>
  </si>
  <si>
    <t>Eric Gentry</t>
  </si>
  <si>
    <t>Dametrious Crownover</t>
  </si>
  <si>
    <t>6-7¼</t>
  </si>
  <si>
    <t>35⅜</t>
  </si>
  <si>
    <t>Caleb Tiernan</t>
  </si>
  <si>
    <t>6-8</t>
  </si>
  <si>
    <t>Zxavian Harris</t>
  </si>
  <si>
    <t>Travis Burke</t>
  </si>
  <si>
    <t>6-8¾</t>
  </si>
  <si>
    <t>Markel Bell</t>
  </si>
  <si>
    <t>6-9¼</t>
  </si>
  <si>
    <t>36⅜</t>
  </si>
  <si>
    <t>Yes</t>
  </si>
  <si>
    <t>Hawk?</t>
  </si>
  <si>
    <t>Notes</t>
  </si>
  <si>
    <t>Quick, in control, fast off the line, beat press with speed, hand catcher, like him a lot, great size, tracks ball well, wins 1:1s</t>
  </si>
  <si>
    <t>Light player with good short area quickness, decent hands, ST player, depth WR</t>
  </si>
  <si>
    <t>Good tackle, reliable, big, can move, doesn't panic, good length, could be good starter</t>
  </si>
  <si>
    <t>Speedster gadget player</t>
  </si>
  <si>
    <t>All around the ball, physical tackler, plays the run, plays the ball, baller</t>
  </si>
  <si>
    <t>Maybe</t>
  </si>
  <si>
    <t>Tough, physical, plays in control</t>
  </si>
  <si>
    <t>Very solid guard, physical, can move, doesn't get bull rushed, powerful, gap/duo scheme great fit</t>
  </si>
  <si>
    <t>A little light in the shorts, good effort, can get blocked by TE, can speed rush off the outside, beat good OT (Freeling)</t>
  </si>
  <si>
    <t>Long speed, light frame, a main target for LSU, not sure about short area quickness, tough player</t>
  </si>
  <si>
    <t>No</t>
  </si>
  <si>
    <t>Good overall player for depth, a bit light but receiving threat, mediocre blocker</t>
  </si>
  <si>
    <t>Decent yak, late round WR, maybe UDFA</t>
  </si>
  <si>
    <t>Tough, reliable but more of a depth WR or ST</t>
  </si>
  <si>
    <t>Does a lot in defense, rushes decently, good power and size, won't take over games</t>
  </si>
  <si>
    <t>Lumbering TE, reliable hands and can run routes but not a NFL TE</t>
  </si>
  <si>
    <t>Returner, dangerous w/ball, twitchy in open space, good hands, high volume WR, big time gamer</t>
  </si>
  <si>
    <t>Great size, length, smart player, explosive player even if slow 40</t>
  </si>
  <si>
    <t>Good size and length, not a great mover, power scheme late rounder/UDFA</t>
  </si>
  <si>
    <t>Good power, decent movement</t>
  </si>
  <si>
    <t>Row Labels</t>
  </si>
  <si>
    <t>Grand Total</t>
  </si>
  <si>
    <t>Count of School</t>
  </si>
  <si>
    <t>FB/TE Blocker</t>
  </si>
  <si>
    <t>Center prospect, decent mover</t>
  </si>
  <si>
    <t>Scrappy TE, not very athletic but willing blocker</t>
  </si>
  <si>
    <t>Quick and twitchy WR</t>
  </si>
  <si>
    <t>Huge man, physical and gap mauler, not very mobile to get up to second level</t>
  </si>
  <si>
    <t>Quick, accurate delivery, not the most mobile guy</t>
  </si>
  <si>
    <t>Speedy WR Mendoza favorite, slot WR</t>
  </si>
  <si>
    <t>Scrappy RB, decent short area quickness, gets all yards that are available, deceptive mover, typewriter feet</t>
  </si>
  <si>
    <t>Good athlete, benched at one point for play responded nicely, not super impressed</t>
  </si>
  <si>
    <t>Bigger IU WR, gets open, another Mendoza favorite</t>
  </si>
  <si>
    <t>Plays hard, ultimately not super impressed, athletic</t>
  </si>
  <si>
    <t>Physical scrappy CB who pays way bigger than his size, explosive athlete but unsure about speed, very small</t>
  </si>
  <si>
    <t>Physical safety (who isn't on IU) but didn't see a ton of plays</t>
  </si>
  <si>
    <t>Center for IU, good player, prob best OL, good mover on tape</t>
  </si>
  <si>
    <t>Decent athlete, didn't stand out on tape</t>
  </si>
  <si>
    <t>Veteran CFB QB</t>
  </si>
  <si>
    <t>Can play OT (not sure how well)</t>
  </si>
  <si>
    <t>Good tackler, team leader, mixes it upp</t>
  </si>
  <si>
    <t>Yards</t>
  </si>
  <si>
    <t>TDs</t>
  </si>
  <si>
    <t>Tackles</t>
  </si>
  <si>
    <t>Ints</t>
  </si>
  <si>
    <t>PBUs</t>
  </si>
  <si>
    <t>Crazy athlete</t>
  </si>
  <si>
    <t>Column Labels</t>
  </si>
  <si>
    <t>Huge man, long bullish arms/hands, motor is meh for me</t>
  </si>
  <si>
    <t>Decent bull rush, not that powerful for a guy this size, inconsistent, meh player</t>
  </si>
  <si>
    <t>Left Tackle, good technique, good mover on his feet, not most powerful</t>
  </si>
  <si>
    <t>Plays Center, great mobility, used in screen games, not most powerful</t>
  </si>
  <si>
    <t>Not an aggressive tackler, potential liability in run game</t>
  </si>
  <si>
    <t>Good field general, led a great offense that was schemed up well</t>
  </si>
  <si>
    <t>Physical corner, good instincts to read and react, was out most of 2025 with injury</t>
  </si>
  <si>
    <t>Tiny player, gadget options, too small to block</t>
  </si>
  <si>
    <t>Big man who can move, sheds blocks</t>
  </si>
  <si>
    <t>Explosive, willing blocker, returner</t>
  </si>
  <si>
    <t>Another small player, UDFA, returner</t>
  </si>
  <si>
    <t>Big powerful back, Derrick Henry lite, patient, falls forward, not the best hands</t>
  </si>
  <si>
    <t>Will be physical with CBs, gave Clemson all kinds of trouble, great hands and route runner. Will be good player in NFL</t>
  </si>
  <si>
    <t>Not best lateral mover, see Louisville game, perhaps teachable but don't see top level talent, strange stance</t>
  </si>
  <si>
    <t>Good tackler in space (avoids blocks), hunts the ball, great speed to stay with receiver, impacts game at all levels, chess piece</t>
  </si>
  <si>
    <t>Great production in 2024, good back that could pop, boom/bust potential.</t>
  </si>
  <si>
    <t>Has all the physical tools to be a great back, good vision, speed, physicality. Just hasn't shown it as full time back.</t>
  </si>
  <si>
    <t>Powerful, quick, sheds blocks, a bit light and can get moved in run game, don't think he'll be a game wrecker in NFL.</t>
  </si>
  <si>
    <t>Physical player, played a lot of MLB and edge, decent reaction speed, athleticism</t>
  </si>
  <si>
    <t>Good mover, solid player all around, stays square and rarely beat, knows how to use leverage, power</t>
  </si>
  <si>
    <t>Willing tackler, long and lean, great speed, read react downhill</t>
  </si>
  <si>
    <t>Huge lumbering OT, could be good in gap scheme</t>
  </si>
  <si>
    <t>Not much to see here</t>
  </si>
  <si>
    <t>Dude is a chess piece, playing nickle, LB, edge, fantastic athlete, strong too taking on OL, not sure about his instincts</t>
  </si>
  <si>
    <t>Outstanding player, one of top prospects in country; Jim Thorpe Award winner, finalist for top defensive players in nation</t>
  </si>
  <si>
    <t>Speed, beast off the edge, decent size, legit blue chip pick, Chuck Bednarik finalist (top Def player award)</t>
  </si>
  <si>
    <t>Outland finalist (best lineman)</t>
  </si>
  <si>
    <t>Incredibly athletic TE, a bit light but rocked up (Mackey Award finalist)</t>
  </si>
  <si>
    <t>Mackey Award finalist</t>
  </si>
  <si>
    <t>Physical but didn't see too many plays on tape (Butkus Award finalist)</t>
  </si>
  <si>
    <t>Quickish, right place/right time kind of guy, get's overwhelmed by good OL, drops in coverage, not very physical, good motor tho</t>
  </si>
  <si>
    <t>Good ball skills, great int in FBS playoffs, blitzes frequently, good straight line speed, can play nickle, very physical- takes on OL</t>
  </si>
  <si>
    <t>Extremely physical, smart, takes over games, gives all he's got, motor never stops. Short arms a problem</t>
  </si>
  <si>
    <t>Power IOL does a job</t>
  </si>
  <si>
    <t>Good hitter, can play center field, later round FS</t>
  </si>
  <si>
    <t>Decent WR, can run routes, not a speedster, didn't dominate at FBS</t>
  </si>
  <si>
    <t>Big man, big leader, regularly double-teamed but fights through, stout and attacks downhill, great motor; Outland finalist</t>
  </si>
  <si>
    <t>Big bruiser, good vision, decent blocker, classic power back, very physical, yes please.</t>
  </si>
  <si>
    <t>Who?</t>
  </si>
  <si>
    <t>Understands blocking angles and plays a big part in that part of game, late round ST</t>
  </si>
  <si>
    <t>Seemed more in receiving game</t>
  </si>
  <si>
    <t>Good route runner, expected more with Smith getting so much attention</t>
  </si>
  <si>
    <t>(blank)</t>
  </si>
  <si>
    <t>Count of Rd</t>
  </si>
  <si>
    <t>Actuals</t>
  </si>
  <si>
    <t>Derek's</t>
  </si>
  <si>
    <t>Decent athlete, moves ok, getting beat on the reg by Romello Height from TT</t>
  </si>
  <si>
    <t>Violent burst and speed, special player, game wrecker, high upside (aka Von Miller)</t>
  </si>
  <si>
    <t>TT speed guy, doesn't show up at combine, small frame, gadget player?</t>
  </si>
  <si>
    <t>Willing tackler, decent cover guy, small shifty in space, lack of straight-line speed, comes downhill fast tho</t>
  </si>
  <si>
    <t>One of best LBs in nation, more quick than fast, instinctual, stopping power, explosive quickness, up for all awards</t>
  </si>
  <si>
    <t>Quick and sudden WR, one of those guys that is both quick and fast, decent but not great hands, gadget + could be very good</t>
  </si>
  <si>
    <t>Explosive edge player but not twitchy, polished pass rush moves, uses hands well, can pass rush day 1</t>
  </si>
  <si>
    <t>Wasn't very impressed</t>
  </si>
  <si>
    <t>Very good, gamer, all around the ball, good in coverage, Thorpe Award winner</t>
  </si>
  <si>
    <t>Seahawks visit</t>
  </si>
  <si>
    <t>Good length, outstanding ball skills, not fastest straight-line speed but savy and explosive in short areas</t>
  </si>
  <si>
    <t>Decent size and athleticism, can be grabby but solid CB. Would be good UDFA pickup, good ST player.</t>
  </si>
  <si>
    <t>Physical player, good short area quickness, shorter arms</t>
  </si>
  <si>
    <t>Big frame, middling explosion, captain, good blocker and pass catcher, hands catcher</t>
  </si>
  <si>
    <t>Good instincts, big game against Michigan, plays on the edge, in coverage, bit of a chess piece</t>
  </si>
  <si>
    <t>Not impressed by his football IQ, good measurables and size though</t>
  </si>
  <si>
    <t>Good length, saw nice trap move, does dirty work inside, strong effort</t>
  </si>
  <si>
    <t>Very small player but lightning fast and super athletic, playmaker, Tez Johnson type player</t>
  </si>
  <si>
    <t>Long and lean, big hands, willing blocker, wasn't much of an impact player, not much separation</t>
  </si>
  <si>
    <t>Fullback, good blocker, good size</t>
  </si>
  <si>
    <t>Good length, moves better than his measurables show</t>
  </si>
  <si>
    <t>Long arms, decent mover, not bad player, nasty demeanor</t>
  </si>
  <si>
    <t>Good blocker, can catch, average athletcism, short arms, very tough player</t>
  </si>
  <si>
    <t>Backup linebacker</t>
  </si>
  <si>
    <t>Great speed, hands catcher, goes over the middle</t>
  </si>
  <si>
    <t>Finalist for Biletnikoff award, quick AND fast, good hands catcher, contested ball guy, not great on scramble drill</t>
  </si>
  <si>
    <t>Classic 2-gapping NT with long amrs and huge hands, stacks and sheds, pretty much no pass rush</t>
  </si>
  <si>
    <t>Huge man who moves surprisingly well for his size, more of a penetrator than anchor, good bull rush, bats balls down, project</t>
  </si>
  <si>
    <t>Huge man who can anchor and push the pocket, very strong, plays over C, not sure about athleticism, no pass rush</t>
  </si>
  <si>
    <t>Finalist for Biletnikoff award, Josh Downs type player, great body control, decent route runner, speed in field</t>
  </si>
  <si>
    <t>Tall and long player, fires out of stance, fantastic speed, small school guy, great hands and route runner</t>
  </si>
  <si>
    <t>Mackey Award finalist, explosive TE, really just a big WR, great YAC, physical</t>
  </si>
  <si>
    <t>Physical, has decent power, decent speed, nothing special of either though, high upside low floor w/athleticism</t>
  </si>
  <si>
    <t>Very explosive, fast trigger downhill, COD and mirror, fast enough, 20yo player, lacking ball skills</t>
  </si>
  <si>
    <t>Decent RB, somewhat physical, older player 25 yo, good lateral agility, efficient runner</t>
  </si>
  <si>
    <t>26 yo player, good patience, lateral agility, decisive, dosen't have long speed, more quick than fast</t>
  </si>
  <si>
    <t>Very fast, good at setting up angles, great latereal agility, home run hitter, physical, good receiver, mixed vision</t>
  </si>
  <si>
    <t>Just decent athlete, does have decent bend, attacks the ball, not great vs run, plays more athletic than tests, bit of drama queen</t>
  </si>
  <si>
    <t>Jaydn Ott</t>
  </si>
  <si>
    <t>Athletic player, didn't play much in 2025 for school decision, potential off field issues</t>
  </si>
  <si>
    <t>Sum of Rank</t>
  </si>
  <si>
    <t>Strong and tough runner, lack of burst, inconsistent WR and blocker out of backfield</t>
  </si>
  <si>
    <t>Super small guy</t>
  </si>
  <si>
    <t>Great COD, very small RB, not bad contact balance, fumbled a lot, explosive runner is what he can do though</t>
  </si>
  <si>
    <t>Good contact balance, vision and patience, tough, pass protection is solid, can cass passes, complete shorter power-RB</t>
  </si>
  <si>
    <t>Not sure he was best back on his own team, short and stocky, good size, a complete back old school</t>
  </si>
  <si>
    <t>Explosive, good vision/patience, north/south runner, good runner but not very well-rounded</t>
  </si>
  <si>
    <t>Shifty back that does most things well for his size, great stop/start stutter step moves, north/south runner, tough</t>
  </si>
  <si>
    <t>Big nickle, SS type, physical, good measurables, ball skills, somewhat of a project w/instincts</t>
  </si>
  <si>
    <t>Good instincts, not super athletic, lacks deep speed, playmaker</t>
  </si>
  <si>
    <t>More FS, good range, not best/most physical tackler</t>
  </si>
  <si>
    <t>Mixes things up, physical player, not very quick in space, smart player though, almost LB, playmaker</t>
  </si>
  <si>
    <t>Good length, willing tackler, fluid hips, not best angles, robber SS, versatile</t>
  </si>
  <si>
    <t>Rangy and smart player, good coverage player, tackles well, ball skills</t>
  </si>
  <si>
    <t>Versatile, good athlete, physical tackler, cover TE, playmaker, tough</t>
  </si>
  <si>
    <t>Big nickle, good zone, smart, plays LB, S, CB, nickel - hybrid FS/Nickel</t>
  </si>
  <si>
    <t>Great speed, 3 yr captain, versatile, good instincts, will take chances, could improve tackling, hybrid - FS/Nickel</t>
  </si>
  <si>
    <t>Smaller CB but has good instincts and decent range overcoming his size, may play safety in NFL</t>
  </si>
  <si>
    <t>Good athlete and tackler, smaller player at LB, sideline to sideline, keeps square, great in coverage, chess piece (may be a safety)</t>
  </si>
  <si>
    <t>Big and physical WR, good hands, decent athlete, tough</t>
  </si>
  <si>
    <t>Good measurables, stays square</t>
  </si>
  <si>
    <t>Quick and fast, good attitude, comes downhill fast, they asked him to set the edge</t>
  </si>
  <si>
    <t>Outland finalist (best lineman), agility is a huge plus, may be too small for NFL, tough as hell, never gets pushed back</t>
  </si>
  <si>
    <t>Electric player, chess piece, ST, does everything, Tez Johnson type</t>
  </si>
  <si>
    <t>Long player, plays physical, has decent speeed and agility, lots of upside</t>
  </si>
  <si>
    <t>Upside</t>
  </si>
  <si>
    <t>High</t>
  </si>
  <si>
    <t>Medium</t>
  </si>
  <si>
    <t>Low</t>
  </si>
  <si>
    <t>Good motor/hussle, took green dot away from him, explosive, smallish guy, pass rusher?</t>
  </si>
  <si>
    <t>Dude can run, good speed, good agility, overall lack of instincts though</t>
  </si>
  <si>
    <t>Very physical, good instincts</t>
  </si>
  <si>
    <t>Nothing special, plays somewhat physical, great against the run, played edge, not most athletic (short area explosive though)</t>
  </si>
  <si>
    <t>Decent athlete, lack of instincts, gets caught up in trash, slow processor</t>
  </si>
  <si>
    <t>Big and strong, long arms, some speed but can get overwhelmed by bigger linemen, good motor, very inconsistent</t>
  </si>
  <si>
    <t>Butkus Award finalist, highly athletic, thumper, sideline to sideline, good instincts, comes downhill</t>
  </si>
  <si>
    <t>Decent job filling holes, Butkus Award finalist, not most athletic, great instincts, thumper, good tackler</t>
  </si>
  <si>
    <t>Great instincts, thumper, good power, speed is a question, classic MLB</t>
  </si>
  <si>
    <t>Super smart, physical, stays square, smalller guy, not most athletic, gets stuck on blockers</t>
  </si>
  <si>
    <t>Good footwork playing LT, like his smarts, grit, not super athletic though, aggressive, poor technique</t>
  </si>
  <si>
    <t>Good mover, weak power, not most coordinated</t>
  </si>
  <si>
    <t>Good power</t>
  </si>
  <si>
    <t>Potential OG, somewhat stiff, powerful, drive blocker, stiff legged, prob an OG</t>
  </si>
  <si>
    <t>Very strong player, mauler, violent hands, decent mover, power/gap scheme fit</t>
  </si>
  <si>
    <t>Big and physical IOL with a nasty streak, best IOL in draft+A9:S12</t>
  </si>
  <si>
    <t>LG, great athlete, a bit uncoordinated and stiff, weak dealing with quicker athletes</t>
  </si>
  <si>
    <t>Big player, powerful IOL, decent feet and agility, strong hands but can't always sustain blocks, prob OG</t>
  </si>
  <si>
    <t>Physical mover of men, not amazing lateral agility, great strength, probably not best in zone, better in gap, bit stiff</t>
  </si>
  <si>
    <t>Does a job, decent hands, plays tall and not best feet, not most aggressive player</t>
  </si>
  <si>
    <t>DT</t>
  </si>
  <si>
    <t>Stays square, violent hands, anchors very well against double teams, strong despite weight, 2 down NT</t>
  </si>
  <si>
    <t>Good hand usage, decent athlete, twitchy, weak against run gamee</t>
  </si>
  <si>
    <t>Decent size, decent power, stoutish run defense, strong hands, good length, can get tall, 3 tech run defender</t>
  </si>
  <si>
    <t>Good run defender, strong leverage and hands, weak against doubles, not much pass rush, shorter arms, run stopping 1/3 tech</t>
  </si>
  <si>
    <t>Shorter arms, very disruptive despite lacking explosiveness, can play inside, not great vs. run, great motor, impacts game</t>
  </si>
  <si>
    <t>Good long arm, high motor, upper body strength, stiff frame, injury history</t>
  </si>
  <si>
    <t>Huge man at nose, moves well, alpha dog leader on defense, can rush passer</t>
  </si>
  <si>
    <t>Quick-twitch interior DT, strength is penetration, can't anchor at his size, elite speed, poor length and size for DT</t>
  </si>
  <si>
    <t>Sudden and explosive, high motor, good pass rush plan, smallish frame impacts run defense, pass rushing 3 tech</t>
  </si>
  <si>
    <t>Good athleticism, more of a penetrator, short arms impact play, backup, gets pushed back in run game, high effort guy</t>
  </si>
  <si>
    <t>Explosive, good speed, bendy, strong hands, didn't play against great teams</t>
  </si>
  <si>
    <t>Dude is a playmaker, showed up huge against Oregon, relentless motor, not bendy or super athletic</t>
  </si>
  <si>
    <t>Twitchy without elite burst, violent tackler, should be edge player full time</t>
  </si>
  <si>
    <t>Long arms, strong hands, decent athlete, hot and cold effort, raw pass rusher, some versatility</t>
  </si>
  <si>
    <t>Explosive w/strong hands, can rush or play off line, weak in run game</t>
  </si>
  <si>
    <t>Long and lean player, some questionable traits, explosive, effort looks hot then cold</t>
  </si>
  <si>
    <t>Top pass rusher for OK, smallish arms, not best testing, strong, good bull rush, boom or bust player</t>
  </si>
  <si>
    <t>Great athlete and frame, great motor, strong, a bit stiff, not bendy, more DE than Edge</t>
  </si>
  <si>
    <t>Good motor, physical player, feisty, not best get off, drops into coverage and is a baller, more DE than Edge</t>
  </si>
  <si>
    <t>Strong, long and lean OLB but not quick (good get off), goes back to championship team, high motor, plays too high</t>
  </si>
  <si>
    <t>Huge guy, very strong, stiff, bigger OTs can handle him, not twitchy, will need better pass rush plans, high potential</t>
  </si>
  <si>
    <t>Classic NT over C, heavy hands and powerful anchor, great motor to the ball, size/strength/base, not athletic</t>
  </si>
  <si>
    <t>Big physical long arms, good power, high motor, takes on double teams well, odd body shape, lacking athleticism</t>
  </si>
  <si>
    <t>Long arms, hot and cold showing, lack of athleticism, bit of a tweener, underwhelming, low ceiling</t>
  </si>
  <si>
    <t>Surprisingly quick for his size, long arms, good tackler, good power, good motor, flexible, should be 3 tech (not nose)</t>
  </si>
  <si>
    <t>Good speed to power, powerful end, runs down for the ball, did more setting edge, plays high, needs to grow in pass rush</t>
  </si>
  <si>
    <t>Very long edge player, can play all positions on DL, not bendy or bursty, high upside</t>
  </si>
  <si>
    <t>Fantastic effort, natural pass rusher, disruptive, weak vs. run, not overly strong</t>
  </si>
  <si>
    <t>More power than speed rusher, good motor, good pass rusher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</si>
</sst>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0"/>
      <color theme="0" tint="-0.499984740745262"/>
      <name val="Aptos Narrow"/>
      <family val="2"/>
      <scheme val="minor"/>
    </font>
    <font>
      <i/>
      <sz val="8"/>
      <color rgb="FFFF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" fontId="0" fillId="9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6" fontId="0" fillId="10" borderId="0" xfId="0" applyNumberForma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16" fontId="0" fillId="11" borderId="0" xfId="0" applyNumberFormat="1" applyFill="1" applyAlignment="1">
      <alignment horizontal="center"/>
    </xf>
    <xf numFmtId="164" fontId="0" fillId="11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6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6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16" fontId="0" fillId="12" borderId="0" xfId="0" applyNumberFormat="1" applyFill="1" applyAlignment="1">
      <alignment horizontal="center"/>
    </xf>
    <xf numFmtId="164" fontId="0" fillId="12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16" fontId="0" fillId="13" borderId="0" xfId="0" applyNumberFormat="1" applyFill="1" applyAlignment="1">
      <alignment horizontal="center"/>
    </xf>
    <xf numFmtId="164" fontId="0" fillId="13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" fontId="0" fillId="14" borderId="0" xfId="0" applyNumberFormat="1" applyFill="1" applyAlignment="1">
      <alignment horizontal="center"/>
    </xf>
    <xf numFmtId="0" fontId="0" fillId="15" borderId="0" xfId="0" applyFill="1" applyAlignment="1">
      <alignment horizontal="center"/>
    </xf>
    <xf numFmtId="16" fontId="0" fillId="15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164" fontId="0" fillId="15" borderId="0" xfId="0" applyNumberFormat="1" applyFill="1" applyAlignment="1">
      <alignment horizontal="center"/>
    </xf>
    <xf numFmtId="164" fontId="0" fillId="14" borderId="0" xfId="0" applyNumberForma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4" fillId="1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9" fontId="5" fillId="0" borderId="0" xfId="1" applyFont="1"/>
    <xf numFmtId="0" fontId="2" fillId="0" borderId="0" xfId="0" applyFo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164" fontId="2" fillId="11" borderId="0" xfId="0" applyNumberFormat="1" applyFont="1" applyFill="1" applyAlignment="1">
      <alignment horizontal="center"/>
    </xf>
    <xf numFmtId="16" fontId="0" fillId="10" borderId="0" xfId="0" quotePrefix="1" applyNumberForma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2" fillId="13" borderId="0" xfId="0" applyNumberFormat="1" applyFont="1" applyFill="1" applyAlignment="1">
      <alignment horizontal="center"/>
    </xf>
    <xf numFmtId="164" fontId="2" fillId="10" borderId="0" xfId="0" applyNumberFormat="1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4" fillId="17" borderId="0" xfId="0" applyFont="1" applyFill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4" fillId="1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b val="0"/>
        <i val="0"/>
        <color rgb="FF00B050"/>
      </font>
    </dxf>
    <dxf>
      <font>
        <color theme="5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rek Hermann" refreshedDate="46118.952856944445" createdVersion="8" refreshedVersion="8" minRefreshableVersion="3" recordCount="313" xr:uid="{97640D99-1B17-42EB-802C-BF4804E45F1C}">
  <cacheSource type="worksheet">
    <worksheetSource ref="A1:X314" sheet="Main"/>
  </cacheSource>
  <cacheFields count="24">
    <cacheField name="Position" numFmtId="0">
      <sharedItems count="12">
        <s v="RB"/>
        <s v="EDGE"/>
        <s v="OT"/>
        <s v="CB"/>
        <s v="S"/>
        <s v="LB"/>
        <s v="WR"/>
        <s v="TE"/>
        <s v="IOL"/>
        <s v="DT"/>
        <s v="QB"/>
        <s v="DL" u="1"/>
      </sharedItems>
    </cacheField>
    <cacheField name="Rd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Rank" numFmtId="0">
      <sharedItems containsString="0" containsBlank="1" containsNumber="1" containsInteger="1" minValue="5" maxValue="191"/>
    </cacheField>
    <cacheField name="Player" numFmtId="0">
      <sharedItems count="313">
        <s v="Jeremiyah Love"/>
        <s v="Rueben Bain Jr."/>
        <s v="Spencer Fano"/>
        <s v="Mansoor Delane"/>
        <s v="Caleb Downs"/>
        <s v="David Bailey"/>
        <s v="Sonny Styles"/>
        <s v="Francis Mauigoa"/>
        <s v="Jermod McCoy"/>
        <s v="Arvell Reese"/>
        <s v="Monroe Freeling"/>
        <s v="Caleb Lomu"/>
        <s v="Dillon Thieneman"/>
        <s v="Cashius Howell"/>
        <s v="Avieon Terrell"/>
        <s v="Makai Lemon"/>
        <s v="Jordyn Tyson"/>
        <s v="Kenyon Sadiq"/>
        <s v="KC Concepcion"/>
        <s v="Olaivavega Ioane"/>
        <s v="Keldric Faulk"/>
        <s v="Kayden McDonald"/>
        <s v="Colton Hood"/>
        <s v="Carnell Tate"/>
        <s v="Omar Cooper Jr."/>
        <s v="Kadyn Proctor"/>
        <s v="Chris Johnson"/>
        <s v="Denzel Boston"/>
        <s v="Akheem Mesidor"/>
        <s v="Fernando Mendoza"/>
        <s v="Gennings Dunker"/>
        <s v="Brandon Cisse"/>
        <s v="Jadarian Price"/>
        <s v="Ty Simpson"/>
        <s v="Peter Woods"/>
        <s v="Blake Miller"/>
        <s v="Christen Miller"/>
        <s v="Emmanuel Pregnon"/>
        <s v="Malachi Lawrence"/>
        <s v="Hezekiah Masses"/>
        <s v="Emmanuel McNeil-Warren"/>
        <s v="Anthony Hill"/>
        <s v="D'Angelo Ponds"/>
        <s v="Romello Height"/>
        <s v="Zachariah Branch"/>
        <s v="Davison Igbinosun"/>
        <s v="Caleb Banks"/>
        <s v="Zakee Wheatley"/>
        <s v="Keylan Rutledge"/>
        <s v="Max Iheanachor"/>
        <s v="Bud Clark"/>
        <s v="Dametrious Crownover"/>
        <s v="Vincent Anthony Jr."/>
        <s v="CJ Allen"/>
        <s v="Mike Washington"/>
        <s v="Treydan Stukes"/>
        <s v="Josiah Trotter"/>
        <s v="Chris Bell"/>
        <s v="Anthony Lucas"/>
        <s v="Jacob Rodriguez"/>
        <s v="T.J. Parker"/>
        <s v="Logan Jones"/>
        <s v="Chris Brazzell II"/>
        <s v="Emmett Johnson"/>
        <s v="Dani Dennis-Sutton"/>
        <s v="Keionte Scott"/>
        <s v="Chase Bisontis"/>
        <s v="Keith Abney"/>
        <s v="Will Lee III"/>
        <s v="Joshua Josephs"/>
        <s v="Eli Stowers"/>
        <s v="Skyler Bell"/>
        <s v="Bryce Lance"/>
        <s v="Kyle Louis"/>
        <s v="Jimmy Rolder"/>
        <s v="Taurean York"/>
        <s v="Harold Perkins Jr."/>
        <s v="Kendal Daniels"/>
        <s v="Kamari Ramsey"/>
        <s v="Max Llewellyn"/>
        <s v="Zion Young"/>
        <s v="Deion Burks"/>
        <s v="Gabe Jacas"/>
        <s v="De'Zhaun Stribling"/>
        <s v="Jake Slaughter"/>
        <s v="A.J. Haulcy"/>
        <s v="J.C. Davis"/>
        <s v="Jonah Coleman"/>
        <s v="Jaishawn Barham"/>
        <s v="Jalen Farmer"/>
        <s v="Parker Brailsford"/>
        <s v="Tim Keenan"/>
        <s v="Daylen Everette"/>
        <s v="Oscar Delp"/>
        <s v="Antonio Williams"/>
        <s v="Cole Payton"/>
        <s v="Caleb Tiernan"/>
        <s v="Derrick Moore"/>
        <s v="Trey Zuhn III"/>
        <s v="R Mason Thomas"/>
        <s v="Germie Bernard"/>
        <s v="Keyron Crawford"/>
        <s v="Brandon Cleveland"/>
        <s v="Ephesians Prysock"/>
        <s v="Ja'Kobi Lane"/>
        <s v="Brian Parker II"/>
        <s v="Marvin Jones Jr."/>
        <s v="Chris McClellan"/>
        <s v="Nicholas Singleton"/>
        <s v="Garrett Nussmeier"/>
        <s v="Michael Trigg"/>
        <s v="Jadon Canady"/>
        <s v="Lee Hunter"/>
        <s v="Malik Muhammad"/>
        <s v="Zane Durant"/>
        <s v="Seth McGowan"/>
        <s v="Chandler Rivers"/>
        <s v="Julian Neal"/>
        <s v="Gracen Halton"/>
        <s v="Dontay Corleone"/>
        <s v="Marlin Klein"/>
        <s v="Jake Golday"/>
        <s v="Bryce Boettcher"/>
        <s v="Keyshaun Elliott"/>
        <s v="Genesis Smith"/>
        <s v="Kage Casey"/>
        <s v="TJ Hall"/>
        <s v="Billy Schrauth"/>
        <s v="Rayshaun Benny"/>
        <s v="Skyler Gill-Howard"/>
        <s v="Tacario Davis"/>
        <s v="Ted Hurst"/>
        <s v="Bishop Fitzgerald"/>
        <s v="Joey Aguilar"/>
        <s v="Drew Allar"/>
        <s v="Elijah Sarratt"/>
        <s v="Charles Demmings"/>
        <s v="Cade Klubnik"/>
        <s v="Alex Harkey"/>
        <s v="Jack Kelly"/>
        <s v="Micah Morris"/>
        <s v="Connor Lew"/>
        <s v="Jeremiah Wright"/>
        <s v="DeMonte Capehart"/>
        <s v="Alan Herron"/>
        <s v="Barion Brown"/>
        <s v="Sam Hecht"/>
        <s v="Karson Sharar"/>
        <s v="Red Murdock"/>
        <s v="Mason Reiger"/>
        <s v="Vinny Anthony II"/>
        <s v="Jack Endries"/>
        <s v="Domonique Orange"/>
        <s v="Darrell Jackson Jr."/>
        <s v="Demond Claiborne"/>
        <s v="Kaden Wetjen"/>
        <s v="Malachi Fields"/>
        <s v="Eric McAlister"/>
        <s v="Carson Beck"/>
        <s v="Deontae Lawson"/>
        <s v="Nadame Tucker"/>
        <s v="Albert Regis"/>
        <s v="Le'Veon Moss"/>
        <s v="CJ Donaldson"/>
        <s v="Adam Randall"/>
        <s v="Zxavian Harris"/>
        <s v="Trey Moore"/>
        <s v="Damonic Williams"/>
        <s v="Jaydn Ott"/>
        <s v="Kaytron Allen"/>
        <s v="Jalon Kilgore"/>
        <s v="VJ Payne"/>
        <s v="Logan Taylor"/>
        <s v="Josh Cameron"/>
        <s v="Jaren Kanak"/>
        <s v="Max Klare"/>
        <s v="Diego Pounds"/>
        <s v="Owen Heinecke"/>
        <s v="Caden Curry"/>
        <s v="LT Overton"/>
        <s v="Ar'maj Reed-Adams"/>
        <s v="Jeff Caldwell"/>
        <s v="Jakobe Thomas"/>
        <s v="Enrique Cruz Jr."/>
        <s v="DJ Campbell"/>
        <s v="Evan Beerntsen"/>
        <s v="Febechi Nwaiwu"/>
        <s v="Rahsul Faison"/>
        <s v="Beau Stephens"/>
        <s v="Jager Burton"/>
        <s v="Fernando Carmona"/>
        <s v="Dillon Bell"/>
        <s v="Colbie Young"/>
        <s v="Eric Rivers"/>
        <s v="Garrett DiGiorgio"/>
        <s v="Brenen Thompson"/>
        <s v="Harrison Wallace III"/>
        <s v="Aamil Wagner"/>
        <s v="Matt Gulbin"/>
        <s v="Sam Roush"/>
        <s v="Dillon Wade"/>
        <s v="Jaeden Roberts"/>
        <s v="Namdi Obiazor"/>
        <s v="Kaleb Elarms-Orr"/>
        <s v="Pat Coogan"/>
        <s v="David Gusta"/>
        <s v="Tyreak Sapp"/>
        <s v="Jude Bowry"/>
        <s v="Noah Whittington"/>
        <s v="Xavier Nwankpa"/>
        <s v="Eric Gentry"/>
        <s v="Roman Hemby"/>
        <s v="Jam Miller"/>
        <s v="Austin Barber"/>
        <s v="Eli Heidenreich"/>
        <s v="Josh Cuevas"/>
        <s v="Joe Royer"/>
        <s v="Nate Boerkircher"/>
        <s v="Robert Spears-Jennings"/>
        <s v="Dallen Bentley"/>
        <s v="Markel Bell"/>
        <s v="Justin Jefferson"/>
        <s v="Aiden Fisher"/>
        <s v="Robert Henry"/>
        <s v="J'Mari Taylor"/>
        <s v="DeShon Singleton"/>
        <s v="Dalton Johnson"/>
        <s v="Jackie Marshall"/>
        <s v="Kaleb Proctor"/>
        <s v="Cameron Ball"/>
        <s v="Latrell McCutchin"/>
        <s v="Devin Moore"/>
        <s v="Avery Smith"/>
        <s v="Thaddeus Dixon"/>
        <s v="Toriano Pride Jr."/>
        <s v="Marcus Allen"/>
        <s v="Andre Fuller"/>
        <s v="Jack Pyburn"/>
        <s v="Logan Fano"/>
        <s v="Patrick Payton"/>
        <s v="Nick Barrett"/>
        <s v="George Gumbs"/>
        <s v="Khalil Dinkins"/>
        <s v="Will Kacmarek"/>
        <s v="Luke Altmyer"/>
        <s v="Taylen Green"/>
        <s v="Sawyer Robertson"/>
        <s v="Haynes King"/>
        <s v="Tanner Koziol"/>
        <s v="Riley Nowakowski"/>
        <s v="Jalon Daniels"/>
        <s v="Drew Shelton"/>
        <s v="Bauer Sharp"/>
        <s v="Justin Joly"/>
        <s v="Chris Hilton Jr."/>
        <s v="Eli Raridon"/>
        <s v="Chase Roberts"/>
        <s v="J. Michael Sturdivant"/>
        <s v="Jalen Walthall"/>
        <s v="Dae'Quan Wright"/>
        <s v="Emmanuel Henderson Jr."/>
        <s v="Carver Willis"/>
        <s v="Matthew Hibner"/>
        <s v="RJ Maryland"/>
        <s v="Kendrick Law"/>
        <s v="Lorenzo Styles"/>
        <s v="Caullin Lacy"/>
        <s v="DJ Rogers"/>
        <s v="Zavion Thomas"/>
        <s v="Bryson Eason"/>
        <s v="Miles Kitselman"/>
        <s v="Ahmaad Moses"/>
        <s v="Aaron Anderson"/>
        <s v="Travis Burke"/>
        <s v="Xavian Sorey"/>
        <s v="Joshua Braun"/>
        <s v="Bobby Jamison-Travis"/>
        <s v="Wade Woodaz"/>
        <s v="Wesley Bissainthe"/>
        <s v="Deven Eastern"/>
        <s v="Tyler Onyedim"/>
        <s v="Behren Morton"/>
        <s v="CJ Daniels"/>
        <s v="Donaven McCulley"/>
        <s v="Michael Taaffe"/>
        <s v="Collin Wright"/>
        <s v="Jaylon Guilbeau"/>
        <s v="Anez Cooper"/>
        <s v="Gary Smith III"/>
        <s v="Kevin Coleman Jr."/>
        <s v="Joe Fagnano"/>
        <s v="Malik Benson"/>
        <s v="Jordan Hudson"/>
        <s v="Nyjalik Kelly"/>
        <s v="Louis Moore"/>
        <s v="Jalen Huskey"/>
        <s v="Scooby Williams"/>
        <s v="Lake McRee"/>
        <s v="Chris Adams"/>
        <s v="Aidan Hubbard"/>
        <s v="Lander Barton"/>
        <s v="Diego Pavia"/>
        <s v="Max Bredeson"/>
        <s v="Keagen Trost"/>
        <s v="Caleb Douglas"/>
        <s v="Desmond Reid"/>
        <s v="Domani Jackson"/>
        <s v="Ahmari Harvey"/>
        <s v="Fa'alili Fa'amoe"/>
        <s v="Quintayvious Hutchins"/>
        <s v="Wesley Williams"/>
        <s v="Reggie Virgil"/>
        <s v="John Michael Gyllenborg"/>
      </sharedItems>
    </cacheField>
    <cacheField name="School" numFmtId="0">
      <sharedItems/>
    </cacheField>
    <cacheField name="Height" numFmtId="16">
      <sharedItems containsBlank="1"/>
    </cacheField>
    <cacheField name="Weight" numFmtId="0">
      <sharedItems containsSemiMixedTypes="0" containsString="0" containsNumber="1" containsInteger="1" minValue="164" maxValue="352"/>
    </cacheField>
    <cacheField name="Hand" numFmtId="0">
      <sharedItems containsBlank="1" containsMixedTypes="1" containsNumber="1" containsInteger="1" minValue="9" maxValue="11"/>
    </cacheField>
    <cacheField name="Arm" numFmtId="0">
      <sharedItems containsBlank="1" containsMixedTypes="1" containsNumber="1" containsInteger="1" minValue="30" maxValue="35"/>
    </cacheField>
    <cacheField name="40-yard dash" numFmtId="0">
      <sharedItems containsString="0" containsBlank="1" containsNumber="1" minValue="4.26" maxValue="5.36"/>
    </cacheField>
    <cacheField name="10-yard split" numFmtId="0">
      <sharedItems containsString="0" containsBlank="1" containsNumber="1" minValue="1.48" maxValue="1.86"/>
    </cacheField>
    <cacheField name="Vertical (in)" numFmtId="0">
      <sharedItems containsString="0" containsBlank="1" containsNumber="1" minValue="21.5" maxValue="45.5"/>
    </cacheField>
    <cacheField name="Broad (ft-in)" numFmtId="164">
      <sharedItems containsDate="1" containsBlank="1" containsMixedTypes="1" minDate="2026-08-01T00:00:00" maxDate="2026-10-08T00:00:00"/>
    </cacheField>
    <cacheField name="3-cone" numFmtId="0">
      <sharedItems containsString="0" containsBlank="1" containsNumber="1" minValue="6.55" maxValue="8.33"/>
    </cacheField>
    <cacheField name="Shuttle" numFmtId="0">
      <sharedItems containsString="0" containsBlank="1" containsNumber="1" minValue="4.07" maxValue="5.09"/>
    </cacheField>
    <cacheField name="Bench (reps)" numFmtId="0">
      <sharedItems containsString="0" containsBlank="1" containsNumber="1" containsInteger="1" minValue="12" maxValue="37"/>
    </cacheField>
    <cacheField name="Hawk?" numFmtId="0">
      <sharedItems containsBlank="1"/>
    </cacheField>
    <cacheField name="Upside" numFmtId="0">
      <sharedItems containsBlank="1"/>
    </cacheField>
    <cacheField name="Notes" numFmtId="0">
      <sharedItems containsBlank="1"/>
    </cacheField>
    <cacheField name="Yards" numFmtId="0">
      <sharedItems containsString="0" containsBlank="1" containsNumber="1" containsInteger="1" minValue="103" maxValue="3813"/>
    </cacheField>
    <cacheField name="TDs" numFmtId="0">
      <sharedItems containsString="0" containsBlank="1" containsNumber="1" containsInteger="1" minValue="0" maxValue="41"/>
    </cacheField>
    <cacheField name="Tackles" numFmtId="0">
      <sharedItems containsNonDate="0" containsString="0" containsBlank="1"/>
    </cacheField>
    <cacheField name="Ints" numFmtId="0">
      <sharedItems containsString="0" containsBlank="1" containsNumber="1" containsInteger="1" minValue="2" maxValue="5"/>
    </cacheField>
    <cacheField name="PBUs" numFmtId="0">
      <sharedItems containsString="0" containsBlank="1" containsNumber="1" containsInteger="1" minValue="9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rek Hermann" refreshedDate="46118.952857638891" createdVersion="8" refreshedVersion="8" minRefreshableVersion="3" recordCount="313" xr:uid="{7AF21094-DE5F-4FB5-AB4C-2F10667EC7A4}">
  <cacheSource type="worksheet">
    <worksheetSource ref="A1:S314" sheet="Main"/>
  </cacheSource>
  <cacheFields count="19">
    <cacheField name="Position" numFmtId="0">
      <sharedItems count="12">
        <s v="RB"/>
        <s v="EDGE"/>
        <s v="OT"/>
        <s v="CB"/>
        <s v="S"/>
        <s v="LB"/>
        <s v="WR"/>
        <s v="TE"/>
        <s v="IOL"/>
        <s v="DT"/>
        <s v="QB"/>
        <s v="DL" u="1"/>
      </sharedItems>
    </cacheField>
    <cacheField name="Rd" numFmtId="0">
      <sharedItems containsString="0" containsBlank="1" containsNumber="1" containsInteger="1" minValue="1" maxValue="7" count="8">
        <n v="1"/>
        <n v="2"/>
        <n v="3"/>
        <n v="4"/>
        <n v="5"/>
        <n v="6"/>
        <m/>
        <n v="7" u="1"/>
      </sharedItems>
    </cacheField>
    <cacheField name="Rank" numFmtId="0">
      <sharedItems containsString="0" containsBlank="1" containsNumber="1" containsInteger="1" minValue="5" maxValue="191"/>
    </cacheField>
    <cacheField name="Player" numFmtId="0">
      <sharedItems/>
    </cacheField>
    <cacheField name="School" numFmtId="0">
      <sharedItems count="77">
        <s v="Notre Dame"/>
        <s v="Miami"/>
        <s v="Utah"/>
        <s v="LSU"/>
        <s v="Ohio State"/>
        <s v="Texas Tech"/>
        <s v="Tennessee"/>
        <s v="Georgia"/>
        <s v="Oregon"/>
        <s v="Texas A&amp;M"/>
        <s v="Clemson"/>
        <s v="USC"/>
        <s v="Arizona State"/>
        <s v="Penn State"/>
        <s v="Auburn"/>
        <s v="Indiana"/>
        <s v="Alabama"/>
        <s v="San Diego State"/>
        <s v="Washington"/>
        <s v="Iowa"/>
        <s v="South Carolina"/>
        <s v="UCF"/>
        <s v="California"/>
        <s v="Toledo"/>
        <s v="Texas"/>
        <s v="Florida"/>
        <s v="Georgia Tech"/>
        <s v="TCU"/>
        <s v="Duke"/>
        <s v="Arkansas"/>
        <s v="Arizona"/>
        <s v="Missouri"/>
        <s v="Louisville"/>
        <s v="Nebraska"/>
        <s v="Vanderbilt"/>
        <s v="UConn"/>
        <s v="North Dakota State"/>
        <s v="Pittsburgh"/>
        <s v="Michigan"/>
        <s v="Oklahoma"/>
        <s v="Illinois"/>
        <s v="Ole Miss"/>
        <s v="Kentucky"/>
        <s v="Northwestern"/>
        <s v="NC State"/>
        <s v="Baylor"/>
        <s v="Cincinnati"/>
        <s v="Boise State"/>
        <s v="Georgia State"/>
        <s v="Stephen F. Austin"/>
        <s v="BYU"/>
        <s v="Maryland"/>
        <s v="Kansas State"/>
        <s v="Buffalo"/>
        <s v="Wisconsin"/>
        <s v="Iowa State"/>
        <s v="Florida State"/>
        <s v="Wake Forest"/>
        <s v="Western Michigan"/>
        <s v="Boston College"/>
        <s v="Kansas"/>
        <s v="UCLA"/>
        <s v="Mississippi State"/>
        <s v="Michigan State"/>
        <s v="Stanford"/>
        <s v="Navy"/>
        <s v="UTSA"/>
        <s v="Virginia"/>
        <s v="Southeastern Louisiana"/>
        <s v="Houston"/>
        <s v="North Carolina"/>
        <s v="Incarnate Word"/>
        <s v="SMU"/>
        <s v="Memphis"/>
        <s v="Minnesota"/>
        <s v="Wyoming"/>
        <s v="Miami (FL)" u="1"/>
      </sharedItems>
    </cacheField>
    <cacheField name="Height" numFmtId="16">
      <sharedItems containsBlank="1"/>
    </cacheField>
    <cacheField name="Weight" numFmtId="0">
      <sharedItems containsSemiMixedTypes="0" containsString="0" containsNumber="1" containsInteger="1" minValue="164" maxValue="352"/>
    </cacheField>
    <cacheField name="Hand" numFmtId="0">
      <sharedItems containsBlank="1" containsMixedTypes="1" containsNumber="1" containsInteger="1" minValue="9" maxValue="11"/>
    </cacheField>
    <cacheField name="Arm" numFmtId="0">
      <sharedItems containsBlank="1" containsMixedTypes="1" containsNumber="1" containsInteger="1" minValue="30" maxValue="35"/>
    </cacheField>
    <cacheField name="40-yard dash" numFmtId="0">
      <sharedItems containsString="0" containsBlank="1" containsNumber="1" minValue="4.26" maxValue="5.36"/>
    </cacheField>
    <cacheField name="10-yard split" numFmtId="0">
      <sharedItems containsString="0" containsBlank="1" containsNumber="1" minValue="1.48" maxValue="1.86"/>
    </cacheField>
    <cacheField name="Vertical (in)" numFmtId="0">
      <sharedItems containsString="0" containsBlank="1" containsNumber="1" minValue="21.5" maxValue="45.5"/>
    </cacheField>
    <cacheField name="Broad (ft-in)" numFmtId="164">
      <sharedItems containsDate="1" containsBlank="1" containsMixedTypes="1" minDate="2026-08-01T00:00:00" maxDate="2026-10-08T00:00:00"/>
    </cacheField>
    <cacheField name="3-cone" numFmtId="0">
      <sharedItems containsString="0" containsBlank="1" containsNumber="1" minValue="6.55" maxValue="8.33"/>
    </cacheField>
    <cacheField name="Shuttle" numFmtId="0">
      <sharedItems containsString="0" containsBlank="1" containsNumber="1" minValue="4.07" maxValue="5.09"/>
    </cacheField>
    <cacheField name="Bench (reps)" numFmtId="0">
      <sharedItems containsString="0" containsBlank="1" containsNumber="1" containsInteger="1" minValue="12" maxValue="37"/>
    </cacheField>
    <cacheField name="Hawk?" numFmtId="0">
      <sharedItems containsBlank="1"/>
    </cacheField>
    <cacheField name="Upside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x v="0"/>
    <x v="0"/>
    <n v="5"/>
    <x v="0"/>
    <s v="Notre Dame"/>
    <s v="6-01"/>
    <n v="212"/>
    <s v="9 ⅛"/>
    <n v="32"/>
    <n v="4.3600000000000003"/>
    <n v="1.55"/>
    <m/>
    <m/>
    <m/>
    <m/>
    <m/>
    <m/>
    <s v="High"/>
    <m/>
    <n v="1372"/>
    <n v="18"/>
    <m/>
    <m/>
    <m/>
  </r>
  <r>
    <x v="1"/>
    <x v="0"/>
    <n v="7"/>
    <x v="1"/>
    <s v="Miami"/>
    <s v="6-2 ¼"/>
    <n v="263"/>
    <s v="9⅛"/>
    <s v="30⅞"/>
    <m/>
    <m/>
    <m/>
    <m/>
    <m/>
    <m/>
    <m/>
    <s v="Yes"/>
    <s v="Medium"/>
    <s v="Extremely physical, smart, takes over games, gives all he's got, motor never stops. Short arms a problem"/>
    <m/>
    <m/>
    <m/>
    <m/>
    <m/>
  </r>
  <r>
    <x v="2"/>
    <x v="0"/>
    <n v="10"/>
    <x v="2"/>
    <s v="Utah"/>
    <s v="6-5½"/>
    <n v="311"/>
    <n v="9"/>
    <s v="32⅛"/>
    <n v="4.91"/>
    <n v="1.72"/>
    <n v="32"/>
    <s v="9-3"/>
    <n v="7.34"/>
    <n v="4.67"/>
    <n v="30"/>
    <m/>
    <s v="High"/>
    <s v="Outland finalist (best lineman)"/>
    <m/>
    <m/>
    <m/>
    <m/>
    <m/>
  </r>
  <r>
    <x v="3"/>
    <x v="0"/>
    <n v="10"/>
    <x v="3"/>
    <s v="LSU"/>
    <s v="5-11 ¾"/>
    <n v="196"/>
    <s v="9 ⅝"/>
    <s v="33 ⅛"/>
    <n v="4.45"/>
    <n v="1.57"/>
    <n v="39"/>
    <s v="10-4"/>
    <m/>
    <m/>
    <m/>
    <s v="Yes"/>
    <s v="High"/>
    <s v="Very good, gamer, all around the ball, good in coverage, Thorpe Award winner"/>
    <m/>
    <m/>
    <m/>
    <m/>
    <m/>
  </r>
  <r>
    <x v="4"/>
    <x v="0"/>
    <n v="10"/>
    <x v="4"/>
    <s v="Ohio State"/>
    <s v="5-11 ⅝"/>
    <n v="206"/>
    <s v="9 ½"/>
    <s v="30 ¼"/>
    <m/>
    <m/>
    <m/>
    <m/>
    <m/>
    <m/>
    <m/>
    <m/>
    <s v="Medium"/>
    <s v="Outstanding player, one of top prospects in country; Jim Thorpe Award winner, finalist for top defensive players in nation"/>
    <m/>
    <m/>
    <m/>
    <m/>
    <m/>
  </r>
  <r>
    <x v="1"/>
    <x v="0"/>
    <n v="10"/>
    <x v="5"/>
    <s v="Texas Tech"/>
    <s v="6-3 ½"/>
    <n v="251"/>
    <s v="10¼"/>
    <s v="33⅝"/>
    <n v="4.5"/>
    <n v="1.62"/>
    <n v="35"/>
    <s v="10-9"/>
    <m/>
    <m/>
    <m/>
    <s v="Yes"/>
    <s v="High"/>
    <s v="Violent burst and speed, special player, game wrecker, high upside (aka Von Miller)"/>
    <m/>
    <m/>
    <m/>
    <m/>
    <m/>
  </r>
  <r>
    <x v="5"/>
    <x v="0"/>
    <n v="15"/>
    <x v="6"/>
    <s v="Ohio State"/>
    <s v="6-5"/>
    <n v="244"/>
    <n v="10"/>
    <s v="32⅞"/>
    <n v="4.46"/>
    <n v="1.56"/>
    <n v="43.5"/>
    <s v="11-2"/>
    <n v="7.09"/>
    <n v="4.26"/>
    <m/>
    <s v="Yes"/>
    <s v="High"/>
    <s v="Dude is a chess piece, playing nickle, LB, edge, fantastic athlete, strong too taking on OL, not sure about his instincts"/>
    <m/>
    <m/>
    <m/>
    <m/>
    <m/>
  </r>
  <r>
    <x v="2"/>
    <x v="0"/>
    <n v="15"/>
    <x v="7"/>
    <s v="Miami"/>
    <s v="6-5½"/>
    <n v="329"/>
    <s v="10⅝"/>
    <s v="33¼"/>
    <m/>
    <m/>
    <m/>
    <m/>
    <m/>
    <m/>
    <m/>
    <s v="Yes"/>
    <s v="Medium"/>
    <s v="Good mover, solid player all around, stays square and rarely beat, knows how to use leverage, power"/>
    <m/>
    <m/>
    <m/>
    <m/>
    <m/>
  </r>
  <r>
    <x v="3"/>
    <x v="0"/>
    <n v="15"/>
    <x v="8"/>
    <s v="Tennessee"/>
    <s v="6-0 ¾"/>
    <n v="198"/>
    <s v="8 ⅝"/>
    <s v="31 ⅝"/>
    <n v="4.5"/>
    <n v="1.56"/>
    <m/>
    <m/>
    <m/>
    <m/>
    <m/>
    <s v="Yes"/>
    <s v="High"/>
    <s v="Physical corner, good instincts to read and react, was out most of 2025 with injury"/>
    <m/>
    <m/>
    <m/>
    <m/>
    <m/>
  </r>
  <r>
    <x v="1"/>
    <x v="0"/>
    <n v="15"/>
    <x v="9"/>
    <s v="Ohio State"/>
    <s v="6-4 ⅛"/>
    <n v="241"/>
    <s v="9½"/>
    <s v="32½"/>
    <n v="4.46"/>
    <n v="1.58"/>
    <m/>
    <m/>
    <m/>
    <m/>
    <m/>
    <s v="Yes"/>
    <s v="High"/>
    <s v="Physical player, played a lot of MLB and edge, decent reaction speed, athleticism"/>
    <m/>
    <m/>
    <m/>
    <m/>
    <m/>
  </r>
  <r>
    <x v="2"/>
    <x v="0"/>
    <n v="20"/>
    <x v="10"/>
    <s v="Georgia"/>
    <s v="6-7⅜"/>
    <n v="315"/>
    <s v="10¾"/>
    <s v="34¾"/>
    <n v="4.93"/>
    <n v="1.71"/>
    <n v="33.5"/>
    <s v="9-7"/>
    <m/>
    <m/>
    <m/>
    <s v="Yes"/>
    <s v="High"/>
    <s v="Good tackle, reliable, big, can move, doesn't panic, good length, could be good starter"/>
    <m/>
    <m/>
    <m/>
    <m/>
    <m/>
  </r>
  <r>
    <x v="2"/>
    <x v="0"/>
    <n v="20"/>
    <x v="11"/>
    <s v="Utah"/>
    <s v="6-6¼"/>
    <n v="313"/>
    <s v="9½"/>
    <s v="33⅜"/>
    <n v="4.99"/>
    <n v="1.74"/>
    <n v="32.5"/>
    <s v="9-5"/>
    <m/>
    <m/>
    <n v="25"/>
    <m/>
    <s v="High"/>
    <m/>
    <m/>
    <m/>
    <m/>
    <m/>
    <m/>
  </r>
  <r>
    <x v="4"/>
    <x v="0"/>
    <n v="20"/>
    <x v="12"/>
    <s v="Oregon"/>
    <s v="6-0 ⅛"/>
    <n v="201"/>
    <n v="9"/>
    <s v="31 ⅜"/>
    <n v="4.3499999999999996"/>
    <n v="1.52"/>
    <n v="41"/>
    <s v="10-5"/>
    <m/>
    <m/>
    <n v="18"/>
    <m/>
    <s v="High"/>
    <s v="Crazy athlete"/>
    <m/>
    <m/>
    <m/>
    <m/>
    <m/>
  </r>
  <r>
    <x v="1"/>
    <x v="0"/>
    <n v="23"/>
    <x v="13"/>
    <s v="Texas A&amp;M"/>
    <s v="6-2 ½"/>
    <n v="253"/>
    <s v="9¼"/>
    <s v="30¼"/>
    <n v="4.59"/>
    <n v="1.58"/>
    <n v="32.5"/>
    <s v="9-7"/>
    <m/>
    <m/>
    <m/>
    <s v="Yes"/>
    <s v="High"/>
    <s v="Speed, beast off the edge, decent size, legit blue chip pick, Chuck Bednarik finalist (top Def player award)"/>
    <m/>
    <m/>
    <m/>
    <m/>
    <m/>
  </r>
  <r>
    <x v="3"/>
    <x v="0"/>
    <n v="24"/>
    <x v="14"/>
    <s v="Clemson"/>
    <s v="5-10 ¾"/>
    <n v="194"/>
    <s v="9 ¼"/>
    <s v="33 ⅜"/>
    <n v="4.41"/>
    <n v="1.59"/>
    <n v="37"/>
    <s v="10-3"/>
    <m/>
    <m/>
    <m/>
    <s v="Yes"/>
    <s v="High"/>
    <s v="Good tackler in space (avoids blocks), hunts the ball, great speed to stay with receiver, impacts game at all levels, chess piece"/>
    <m/>
    <m/>
    <m/>
    <m/>
    <m/>
  </r>
  <r>
    <x v="6"/>
    <x v="0"/>
    <n v="25"/>
    <x v="15"/>
    <s v="USC"/>
    <s v="5-11 ⅛"/>
    <n v="192"/>
    <s v="8 ¾"/>
    <s v="30 ½"/>
    <n v="4.5"/>
    <m/>
    <m/>
    <m/>
    <m/>
    <m/>
    <m/>
    <m/>
    <s v="High"/>
    <s v="Finalist for Biletnikoff award, quick AND fast, good hands catcher, contested ball guy, not great on scramble drill"/>
    <n v="1156"/>
    <n v="11"/>
    <m/>
    <m/>
    <m/>
  </r>
  <r>
    <x v="6"/>
    <x v="0"/>
    <n v="25"/>
    <x v="16"/>
    <s v="Arizona State"/>
    <s v="6-2 ⅛"/>
    <n v="203"/>
    <s v="9 ⅛"/>
    <s v="30 ¼"/>
    <m/>
    <m/>
    <m/>
    <m/>
    <m/>
    <m/>
    <m/>
    <m/>
    <s v="High"/>
    <s v="Quick and sudden WR, one of those guys that is both quick and fast, decent but not great hands, gadget + could be very good"/>
    <n v="711"/>
    <n v="8"/>
    <m/>
    <m/>
    <m/>
  </r>
  <r>
    <x v="7"/>
    <x v="0"/>
    <n v="25"/>
    <x v="17"/>
    <s v="Oregon"/>
    <s v="6-3 ⅛"/>
    <n v="241"/>
    <n v="10"/>
    <s v="31 ½"/>
    <n v="4.3899999999999997"/>
    <n v="1.54"/>
    <n v="43.5"/>
    <s v="11-1"/>
    <m/>
    <m/>
    <m/>
    <m/>
    <s v="High"/>
    <s v="Incredibly athletic TE, a bit light but rocked up (Mackey Award finalist)"/>
    <n v="560"/>
    <n v="8"/>
    <m/>
    <m/>
    <m/>
  </r>
  <r>
    <x v="6"/>
    <x v="0"/>
    <n v="29"/>
    <x v="18"/>
    <s v="Texas A&amp;M"/>
    <s v="5-11 ⅝"/>
    <n v="196"/>
    <s v="9 ¼"/>
    <s v="30 ¼"/>
    <m/>
    <m/>
    <m/>
    <m/>
    <m/>
    <m/>
    <m/>
    <s v="Yes"/>
    <s v="High"/>
    <s v="Returner, dangerous w/ball, twitchy in open space, good hands, high volume WR, big time gamer"/>
    <n v="919"/>
    <n v="9"/>
    <m/>
    <m/>
    <m/>
  </r>
  <r>
    <x v="8"/>
    <x v="0"/>
    <n v="30"/>
    <x v="19"/>
    <s v="Penn State"/>
    <s v="6-4¼"/>
    <n v="320"/>
    <s v="10½"/>
    <s v="32¾"/>
    <m/>
    <m/>
    <n v="31.5"/>
    <s v="8-8"/>
    <m/>
    <m/>
    <m/>
    <s v="Yes"/>
    <s v="Low"/>
    <s v="Big and physical IOL with a nasty streak, best IOL in draft+A9:S12"/>
    <m/>
    <m/>
    <m/>
    <m/>
    <m/>
  </r>
  <r>
    <x v="1"/>
    <x v="0"/>
    <n v="31"/>
    <x v="20"/>
    <s v="Auburn"/>
    <s v="6-5 ⅞"/>
    <n v="276"/>
    <s v="9¾"/>
    <s v="34⅜"/>
    <n v="4.67"/>
    <m/>
    <n v="35"/>
    <s v="9-9"/>
    <m/>
    <m/>
    <n v="17"/>
    <s v="Yes"/>
    <s v="Medium"/>
    <s v="More power than speed rusher, good motor, good pass rusher"/>
    <m/>
    <m/>
    <m/>
    <m/>
    <m/>
  </r>
  <r>
    <x v="9"/>
    <x v="1"/>
    <n v="36"/>
    <x v="21"/>
    <s v="Ohio State"/>
    <s v="6-2 ⅛"/>
    <n v="326"/>
    <s v="9⅝"/>
    <s v="32¼"/>
    <m/>
    <m/>
    <m/>
    <m/>
    <m/>
    <m/>
    <m/>
    <s v="Yes"/>
    <s v="Low"/>
    <s v="Big man, big leader, regularly double-teamed but fights through, stout and attacks downhill, great motor; Outland finalist"/>
    <m/>
    <m/>
    <m/>
    <m/>
    <m/>
  </r>
  <r>
    <x v="3"/>
    <x v="1"/>
    <n v="36"/>
    <x v="22"/>
    <s v="Tennessee"/>
    <s v="5-11 ⅝"/>
    <n v="187"/>
    <s v="8 ½"/>
    <s v="32 ⅛"/>
    <n v="4.5"/>
    <n v="1.64"/>
    <n v="39"/>
    <s v="10-3"/>
    <m/>
    <m/>
    <m/>
    <s v="Yes"/>
    <s v="Medium"/>
    <s v="All around the ball, physical tackler, plays the run, plays the ball, baller"/>
    <m/>
    <m/>
    <m/>
    <m/>
    <m/>
  </r>
  <r>
    <x v="6"/>
    <x v="1"/>
    <n v="38"/>
    <x v="23"/>
    <s v="Ohio State"/>
    <s v="6-2 ¼"/>
    <n v="192"/>
    <s v="10 ¼"/>
    <s v="31 ¾"/>
    <n v="4.53"/>
    <n v="1.61"/>
    <m/>
    <m/>
    <m/>
    <m/>
    <m/>
    <m/>
    <s v="Medium"/>
    <s v="Good route runner, expected more with Smith getting so much attention"/>
    <n v="875"/>
    <n v="9"/>
    <m/>
    <m/>
    <m/>
  </r>
  <r>
    <x v="6"/>
    <x v="1"/>
    <n v="40"/>
    <x v="24"/>
    <s v="Indiana"/>
    <s v="6-0 ⅛"/>
    <n v="196"/>
    <s v="9 ⅝"/>
    <s v="30 ¼"/>
    <n v="4.42"/>
    <n v="1.55"/>
    <n v="37"/>
    <m/>
    <m/>
    <m/>
    <m/>
    <m/>
    <s v="Medium"/>
    <s v="Speedy WR Mendoza favorite, slot WR"/>
    <n v="937"/>
    <n v="13"/>
    <m/>
    <m/>
    <m/>
  </r>
  <r>
    <x v="2"/>
    <x v="1"/>
    <n v="40"/>
    <x v="25"/>
    <s v="Alabama"/>
    <s v="6-6⅝"/>
    <n v="352"/>
    <s v="9¾"/>
    <s v="33⅜"/>
    <n v="5.21"/>
    <n v="1.84"/>
    <n v="32.5"/>
    <s v="9-1"/>
    <n v="7.78"/>
    <n v="4.78"/>
    <m/>
    <s v="No"/>
    <s v="Medium"/>
    <s v="Huge man, physical and gap mauler, not very mobile to get up to second level"/>
    <m/>
    <m/>
    <m/>
    <m/>
    <m/>
  </r>
  <r>
    <x v="3"/>
    <x v="1"/>
    <n v="45"/>
    <x v="26"/>
    <s v="San Diego State"/>
    <s v="6-01"/>
    <n v="203"/>
    <s v="9 ¾"/>
    <s v="32 ⅝"/>
    <n v="4.49"/>
    <n v="1.59"/>
    <n v="40"/>
    <s v="11-2"/>
    <n v="7.13"/>
    <n v="4.12"/>
    <n v="16"/>
    <s v="Yes"/>
    <s v="High"/>
    <m/>
    <m/>
    <m/>
    <m/>
    <m/>
    <m/>
  </r>
  <r>
    <x v="6"/>
    <x v="1"/>
    <n v="45"/>
    <x v="27"/>
    <s v="Washington"/>
    <s v="6-3 ⅝"/>
    <n v="212"/>
    <s v="9 ⅝"/>
    <n v="32"/>
    <m/>
    <m/>
    <n v="37.5"/>
    <m/>
    <n v="6.8"/>
    <n v="4.28"/>
    <m/>
    <m/>
    <s v="Medium"/>
    <s v="Big and physical WR, good hands, decent athlete, tough"/>
    <n v="881"/>
    <n v="11"/>
    <m/>
    <m/>
    <m/>
  </r>
  <r>
    <x v="1"/>
    <x v="1"/>
    <n v="45"/>
    <x v="28"/>
    <s v="Miami"/>
    <s v="6-3"/>
    <n v="259"/>
    <n v="10"/>
    <s v="32⅛"/>
    <m/>
    <m/>
    <m/>
    <m/>
    <m/>
    <m/>
    <m/>
    <s v="No"/>
    <s v="Low"/>
    <s v="Quickish, right place/right time kind of guy, get's overwhelmed by good OL, drops in coverage, not very physical, good motor tho"/>
    <m/>
    <m/>
    <m/>
    <m/>
    <m/>
  </r>
  <r>
    <x v="10"/>
    <x v="1"/>
    <n v="45"/>
    <x v="29"/>
    <s v="Indiana"/>
    <s v="6-4 ¾"/>
    <n v="236"/>
    <s v="9 ½"/>
    <s v="31 ⅞"/>
    <m/>
    <m/>
    <m/>
    <m/>
    <m/>
    <m/>
    <m/>
    <s v="No"/>
    <m/>
    <s v="Quick, accurate delivery, not the most mobile guy"/>
    <n v="3535"/>
    <n v="41"/>
    <m/>
    <m/>
    <m/>
  </r>
  <r>
    <x v="8"/>
    <x v="1"/>
    <n v="45"/>
    <x v="30"/>
    <s v="Iowa"/>
    <s v="6-5"/>
    <n v="319"/>
    <n v="10"/>
    <s v="33½"/>
    <n v="5.18"/>
    <n v="1.83"/>
    <n v="32.5"/>
    <s v="9-1"/>
    <n v="7.58"/>
    <n v="4.63"/>
    <n v="29"/>
    <s v="Yes"/>
    <s v="Medium"/>
    <s v="Physical mover of men, not amazing lateral agility, great strength, probably not best in zone, better in gap, bit stiff"/>
    <m/>
    <m/>
    <m/>
    <m/>
    <m/>
  </r>
  <r>
    <x v="3"/>
    <x v="1"/>
    <n v="46"/>
    <x v="31"/>
    <s v="South Carolina"/>
    <s v="5-11 ¾"/>
    <n v="189"/>
    <s v="9 ⅛"/>
    <s v="32 ⅞"/>
    <n v="4.45"/>
    <n v="1.58"/>
    <n v="34"/>
    <s v="10-1"/>
    <m/>
    <n v="4.33"/>
    <n v="15"/>
    <s v="Yes"/>
    <s v="Medium"/>
    <s v="Very explosive, fast trigger downhill, COD and mirror, fast enough, 20yo player, lacking ball skills"/>
    <m/>
    <m/>
    <m/>
    <m/>
    <m/>
  </r>
  <r>
    <x v="0"/>
    <x v="1"/>
    <n v="50"/>
    <x v="32"/>
    <s v="Notre Dame"/>
    <s v="5-10 ⅝"/>
    <n v="203"/>
    <s v="9 ⅝"/>
    <s v="30 ⅞"/>
    <n v="4.49"/>
    <n v="1.61"/>
    <n v="35"/>
    <s v="10-4"/>
    <m/>
    <m/>
    <n v="21"/>
    <s v="Yes"/>
    <s v="High"/>
    <s v="Has all the physical tools to be a great back, good vision, speed, physicality. Just hasn't shown it as full time back."/>
    <n v="674"/>
    <n v="11"/>
    <m/>
    <m/>
    <m/>
  </r>
  <r>
    <x v="10"/>
    <x v="1"/>
    <n v="50"/>
    <x v="33"/>
    <s v="Alabama"/>
    <s v="6-1 ⅛"/>
    <n v="211"/>
    <s v="9 ⅜"/>
    <s v="30 ⅞"/>
    <m/>
    <m/>
    <m/>
    <m/>
    <m/>
    <m/>
    <m/>
    <s v="No"/>
    <m/>
    <s v="Plays hard, ultimately not super impressed, athletic"/>
    <n v="3567"/>
    <n v="28"/>
    <m/>
    <m/>
    <m/>
  </r>
  <r>
    <x v="9"/>
    <x v="1"/>
    <n v="50"/>
    <x v="34"/>
    <s v="Clemson"/>
    <s v="6-2 ½"/>
    <n v="298"/>
    <s v="9⅛"/>
    <s v="31¼"/>
    <m/>
    <m/>
    <n v="29"/>
    <d v="2026-08-08T00:00:00"/>
    <n v="7.7"/>
    <n v="4.54"/>
    <m/>
    <s v="No"/>
    <s v="High"/>
    <s v="Powerful, quick, sheds blocks, a bit light and can get moved in run game, don't think he'll be a game wrecker in NFL."/>
    <m/>
    <m/>
    <m/>
    <m/>
    <m/>
  </r>
  <r>
    <x v="2"/>
    <x v="1"/>
    <n v="55"/>
    <x v="35"/>
    <s v="Clemson"/>
    <s v="6-6¾"/>
    <n v="317"/>
    <s v="9¾"/>
    <s v="34¼"/>
    <n v="5.04"/>
    <n v="1.75"/>
    <n v="32"/>
    <s v="9-5"/>
    <n v="7.75"/>
    <n v="4.6500000000000004"/>
    <m/>
    <s v="No"/>
    <s v="High"/>
    <s v="Not best lateral mover, see Louisville game, perhaps teachable but don't see top level talent, strange stance"/>
    <m/>
    <m/>
    <m/>
    <m/>
    <m/>
  </r>
  <r>
    <x v="9"/>
    <x v="1"/>
    <n v="55"/>
    <x v="36"/>
    <s v="Georgia"/>
    <s v="6-3 ¾"/>
    <n v="321"/>
    <n v="10"/>
    <n v="33"/>
    <m/>
    <m/>
    <m/>
    <m/>
    <m/>
    <m/>
    <m/>
    <s v="Yes"/>
    <s v="High"/>
    <s v="Surprisingly quick for his size, long arms, good tackler, good power, good motor, flexible, should be 3 tech (not nose)"/>
    <m/>
    <m/>
    <m/>
    <m/>
    <m/>
  </r>
  <r>
    <x v="8"/>
    <x v="1"/>
    <n v="55"/>
    <x v="37"/>
    <s v="Oregon"/>
    <s v="6-4¼"/>
    <n v="314"/>
    <n v="11"/>
    <s v="33⅝"/>
    <n v="5.21"/>
    <n v="1.82"/>
    <n v="35"/>
    <s v="9-3"/>
    <n v="7.72"/>
    <n v="4.8099999999999996"/>
    <n v="30"/>
    <s v="Yes"/>
    <s v="Medium"/>
    <s v="LG, great athlete, a bit uncoordinated and stiff, weak dealing with quicker athletes"/>
    <m/>
    <m/>
    <m/>
    <m/>
    <m/>
  </r>
  <r>
    <x v="1"/>
    <x v="1"/>
    <n v="60"/>
    <x v="38"/>
    <s v="UCF"/>
    <s v="6-4"/>
    <n v="253"/>
    <s v="9¼"/>
    <s v="33⅝"/>
    <n v="4.5199999999999996"/>
    <n v="1.59"/>
    <n v="40"/>
    <s v="10-10"/>
    <m/>
    <m/>
    <m/>
    <m/>
    <s v="High"/>
    <s v="Fantastic effort, natural pass rusher, disruptive, weak vs. run, not overly strong"/>
    <m/>
    <m/>
    <m/>
    <m/>
    <m/>
  </r>
  <r>
    <x v="3"/>
    <x v="1"/>
    <n v="60"/>
    <x v="39"/>
    <s v="California"/>
    <s v="6-1"/>
    <n v="189"/>
    <n v="9"/>
    <s v="32 ⅝"/>
    <n v="4.5199999999999996"/>
    <n v="1.56"/>
    <n v="42"/>
    <s v="11-1"/>
    <n v="7.31"/>
    <n v="4.51"/>
    <m/>
    <s v="Yes"/>
    <s v="Medium"/>
    <s v="Good length, outstanding ball skills, not fastest straight-line speed but savy and explosive in short areas"/>
    <m/>
    <m/>
    <m/>
    <m/>
    <m/>
  </r>
  <r>
    <x v="4"/>
    <x v="1"/>
    <n v="60"/>
    <x v="40"/>
    <s v="Toledo"/>
    <s v="6-3 ½"/>
    <n v="201"/>
    <s v="9 ¼"/>
    <s v="32 ⅛"/>
    <n v="4.5199999999999996"/>
    <n v="1.58"/>
    <n v="35.5"/>
    <s v="10-2"/>
    <m/>
    <m/>
    <m/>
    <s v="Maybe"/>
    <s v="High"/>
    <s v="Good length, willing tackler, fluid hips, not best angles, robber SS, versatile"/>
    <m/>
    <m/>
    <m/>
    <m/>
    <m/>
  </r>
  <r>
    <x v="5"/>
    <x v="1"/>
    <n v="62"/>
    <x v="41"/>
    <s v="Texas"/>
    <s v="6-2"/>
    <n v="238"/>
    <s v="9⅝"/>
    <s v="32⅜"/>
    <n v="4.51"/>
    <n v="1.58"/>
    <n v="37"/>
    <s v="10-5"/>
    <m/>
    <m/>
    <n v="21"/>
    <m/>
    <s v="High"/>
    <s v="Butkus Award finalist, highly athletic, thumper, sideline to sideline, good instincts, comes downhill"/>
    <m/>
    <m/>
    <m/>
    <m/>
    <m/>
  </r>
  <r>
    <x v="3"/>
    <x v="1"/>
    <n v="64"/>
    <x v="42"/>
    <s v="Indiana"/>
    <s v="5-8 ⅝"/>
    <n v="188"/>
    <s v="8 ¾"/>
    <s v="30 ⅝"/>
    <m/>
    <m/>
    <n v="39"/>
    <m/>
    <m/>
    <m/>
    <m/>
    <s v="Yes"/>
    <s v="Medium"/>
    <s v="Physical scrappy CB who pays way bigger than his size, explosive athlete but unsure about speed, very small"/>
    <m/>
    <m/>
    <m/>
    <m/>
    <m/>
  </r>
  <r>
    <x v="1"/>
    <x v="1"/>
    <n v="65"/>
    <x v="43"/>
    <s v="Texas Tech"/>
    <s v="6-3"/>
    <n v="239"/>
    <s v="9½"/>
    <s v="32¼"/>
    <n v="4.6399999999999997"/>
    <n v="1.63"/>
    <n v="39"/>
    <s v="10-5"/>
    <m/>
    <m/>
    <m/>
    <s v="Yes"/>
    <s v="Low"/>
    <s v="Explosive edge player but not twitchy, polished pass rush moves, uses hands well, can pass rush day 1"/>
    <m/>
    <m/>
    <m/>
    <m/>
    <m/>
  </r>
  <r>
    <x v="6"/>
    <x v="1"/>
    <n v="65"/>
    <x v="44"/>
    <s v="Georgia"/>
    <s v="5-8 ⅝"/>
    <n v="177"/>
    <n v="9"/>
    <s v="29 ⅜"/>
    <n v="4.3499999999999996"/>
    <n v="1.5"/>
    <n v="38"/>
    <s v="10-5"/>
    <m/>
    <m/>
    <m/>
    <s v="Yes"/>
    <s v="Medium"/>
    <s v="Speedster gadget player"/>
    <n v="811"/>
    <n v="6"/>
    <m/>
    <m/>
    <m/>
  </r>
  <r>
    <x v="3"/>
    <x v="1"/>
    <n v="65"/>
    <x v="45"/>
    <s v="Ohio State"/>
    <s v="6-2"/>
    <n v="193"/>
    <s v="10 ⅛"/>
    <n v="32"/>
    <n v="4.41"/>
    <n v="1.55"/>
    <n v="42"/>
    <s v="11-1"/>
    <m/>
    <m/>
    <m/>
    <s v="Yes"/>
    <s v="High"/>
    <s v="Willing tackler, long and lean, great speed, read react downhill"/>
    <m/>
    <m/>
    <m/>
    <m/>
    <m/>
  </r>
  <r>
    <x v="9"/>
    <x v="1"/>
    <n v="65"/>
    <x v="46"/>
    <s v="Florida"/>
    <s v="6-6 ¼"/>
    <n v="327"/>
    <s v="10⅞"/>
    <n v="35"/>
    <n v="5.05"/>
    <n v="1.76"/>
    <n v="32"/>
    <s v="9-6"/>
    <m/>
    <m/>
    <m/>
    <s v="No"/>
    <s v="High"/>
    <s v="Huge man, long bullish arms/hands, motor is meh for me"/>
    <m/>
    <m/>
    <m/>
    <m/>
    <m/>
  </r>
  <r>
    <x v="4"/>
    <x v="1"/>
    <n v="70"/>
    <x v="47"/>
    <s v="Penn State"/>
    <s v="6-3"/>
    <n v="203"/>
    <s v="9 ½"/>
    <n v="31"/>
    <n v="4.62"/>
    <m/>
    <n v="32.5"/>
    <s v="10-2"/>
    <n v="6.98"/>
    <n v="4.1100000000000003"/>
    <m/>
    <s v="Yes"/>
    <s v="Medium"/>
    <s v="Rangy and smart player, good coverage player, tackles well, ball skills"/>
    <m/>
    <m/>
    <m/>
    <m/>
    <m/>
  </r>
  <r>
    <x v="8"/>
    <x v="1"/>
    <n v="70"/>
    <x v="48"/>
    <s v="Georgia Tech"/>
    <s v="6-4"/>
    <n v="316"/>
    <n v="10"/>
    <s v="33¼"/>
    <n v="5.05"/>
    <n v="1.81"/>
    <n v="32.5"/>
    <s v="8-8"/>
    <n v="7.54"/>
    <m/>
    <n v="27"/>
    <m/>
    <s v="Medium"/>
    <s v="Very strong player, mauler, violent hands, decent mover, power/gap scheme fit"/>
    <m/>
    <m/>
    <m/>
    <m/>
    <m/>
  </r>
  <r>
    <x v="2"/>
    <x v="2"/>
    <n v="80"/>
    <x v="49"/>
    <s v="Arizona State"/>
    <s v="6-5⅞"/>
    <n v="321"/>
    <n v="9"/>
    <s v="33⅞"/>
    <n v="4.91"/>
    <n v="1.73"/>
    <n v="30.5"/>
    <s v="9-7"/>
    <m/>
    <m/>
    <m/>
    <s v="Maybe"/>
    <s v="High"/>
    <s v="Decent athlete, moves ok, getting beat on the reg by Romello Height from TT"/>
    <m/>
    <m/>
    <m/>
    <m/>
    <m/>
  </r>
  <r>
    <x v="4"/>
    <x v="2"/>
    <n v="85"/>
    <x v="50"/>
    <s v="TCU"/>
    <s v="6-01"/>
    <n v="188"/>
    <n v="9"/>
    <s v="31 ½"/>
    <n v="4.41"/>
    <n v="1.56"/>
    <n v="38"/>
    <s v="10-7"/>
    <m/>
    <m/>
    <m/>
    <s v="Yes"/>
    <s v="High"/>
    <s v="Great speed, 3 yr captain, versatile, good instincts, will take chances, could improve tackling, hybrid - FS/Nickel"/>
    <m/>
    <m/>
    <m/>
    <m/>
    <m/>
  </r>
  <r>
    <x v="2"/>
    <x v="2"/>
    <n v="85"/>
    <x v="51"/>
    <s v="Texas A&amp;M"/>
    <s v="6-7¼"/>
    <n v="319"/>
    <n v="10"/>
    <s v="35⅜"/>
    <n v="5.14"/>
    <n v="1.79"/>
    <m/>
    <m/>
    <m/>
    <m/>
    <m/>
    <s v="Maybe"/>
    <s v="Medium"/>
    <s v="Good size and length, not a great mover, power scheme late rounder/UDFA"/>
    <m/>
    <m/>
    <m/>
    <m/>
    <m/>
  </r>
  <r>
    <x v="1"/>
    <x v="2"/>
    <n v="90"/>
    <x v="52"/>
    <s v="Duke"/>
    <s v="6-6"/>
    <n v="258"/>
    <n v="10"/>
    <s v="34⅛"/>
    <n v="4.84"/>
    <n v="1.67"/>
    <n v="32.5"/>
    <s v="10-3"/>
    <m/>
    <m/>
    <m/>
    <s v="Maybe"/>
    <s v="High"/>
    <s v="Just decent athlete, does have decent bend, attacks the ball, not great vs run, plays more athletic than tests, bit of drama queen"/>
    <m/>
    <m/>
    <m/>
    <m/>
    <m/>
  </r>
  <r>
    <x v="5"/>
    <x v="2"/>
    <n v="90"/>
    <x v="53"/>
    <s v="Georgia"/>
    <s v="6-0 ¾"/>
    <n v="230"/>
    <s v="10⅛"/>
    <s v="31½"/>
    <m/>
    <m/>
    <m/>
    <m/>
    <m/>
    <m/>
    <m/>
    <m/>
    <s v="Medium"/>
    <s v="Decent job filling holes, Butkus Award finalist, not most athletic, great instincts, thumper, good tackler"/>
    <m/>
    <m/>
    <m/>
    <m/>
    <m/>
  </r>
  <r>
    <x v="0"/>
    <x v="2"/>
    <n v="90"/>
    <x v="54"/>
    <s v="Arkansas"/>
    <s v="6-1"/>
    <n v="223"/>
    <s v="9 ¼"/>
    <s v="33 ⅝"/>
    <n v="4.33"/>
    <n v="1.51"/>
    <n v="39"/>
    <s v="10-8"/>
    <n v="6.96"/>
    <n v="4.32"/>
    <m/>
    <s v="Yes"/>
    <s v="High"/>
    <s v="Very fast, good at setting up angles, great latereal agility, home run hitter, physical, good receiver, mixed vision"/>
    <n v="1070"/>
    <n v="8"/>
    <m/>
    <m/>
    <m/>
  </r>
  <r>
    <x v="4"/>
    <x v="2"/>
    <n v="90"/>
    <x v="55"/>
    <s v="Arizona"/>
    <s v="6-1"/>
    <n v="190"/>
    <s v="8 ½"/>
    <s v="31 ¾"/>
    <n v="4.33"/>
    <n v="1.5"/>
    <n v="38"/>
    <s v="10-10"/>
    <m/>
    <m/>
    <n v="16"/>
    <s v="Yes"/>
    <s v="High"/>
    <s v="Big nickle, good zone, smart, plays LB, S, CB, nickel - hybrid FS/Nickel"/>
    <m/>
    <m/>
    <m/>
    <m/>
    <m/>
  </r>
  <r>
    <x v="5"/>
    <x v="2"/>
    <n v="91"/>
    <x v="56"/>
    <s v="Missouri"/>
    <s v="6-2"/>
    <n v="237"/>
    <s v="10¼"/>
    <s v="32¼"/>
    <m/>
    <m/>
    <m/>
    <m/>
    <m/>
    <m/>
    <n v="27"/>
    <m/>
    <m/>
    <s v="Great instincts, thumper, good power, speed is a question, classic MLB"/>
    <m/>
    <m/>
    <m/>
    <m/>
    <m/>
  </r>
  <r>
    <x v="6"/>
    <x v="2"/>
    <n v="91"/>
    <x v="57"/>
    <s v="Louisville"/>
    <s v="6-1 ⅞"/>
    <n v="222"/>
    <n v="10"/>
    <s v="31 ¾"/>
    <m/>
    <m/>
    <m/>
    <m/>
    <m/>
    <m/>
    <m/>
    <s v="Yes"/>
    <s v="Medium"/>
    <s v="Will be physical with CBs, gave Clemson all kinds of trouble, great hands and route runner. Will be good player in NFL"/>
    <n v="917"/>
    <n v="6"/>
    <m/>
    <m/>
    <m/>
  </r>
  <r>
    <x v="1"/>
    <x v="2"/>
    <n v="92"/>
    <x v="58"/>
    <s v="USC"/>
    <s v="6-5 ½"/>
    <n v="256"/>
    <s v="10¼"/>
    <s v="33⅜"/>
    <m/>
    <m/>
    <m/>
    <m/>
    <m/>
    <m/>
    <m/>
    <s v="No"/>
    <s v="High"/>
    <s v="Very long edge player, can play all positions on DL, not bendy or bursty, high upside"/>
    <m/>
    <m/>
    <m/>
    <m/>
    <m/>
  </r>
  <r>
    <x v="5"/>
    <x v="2"/>
    <n v="92"/>
    <x v="59"/>
    <s v="Texas Tech"/>
    <s v="6-1"/>
    <n v="231"/>
    <s v="9¼"/>
    <s v="30⅞"/>
    <n v="4.57"/>
    <n v="1.6"/>
    <n v="38.5"/>
    <s v="10-1"/>
    <n v="6.9"/>
    <n v="4.1900000000000004"/>
    <m/>
    <m/>
    <s v="High"/>
    <s v="One of best LBs in nation, more quick than fast, instinctual, stopping power, explosive quickness, up for all awards"/>
    <m/>
    <m/>
    <m/>
    <m/>
    <m/>
  </r>
  <r>
    <x v="1"/>
    <x v="2"/>
    <n v="93"/>
    <x v="60"/>
    <s v="Clemson"/>
    <s v="6-3 ½"/>
    <n v="263"/>
    <s v="9½"/>
    <s v="33⅛"/>
    <n v="4.68"/>
    <n v="1.61"/>
    <n v="34"/>
    <s v="10-1"/>
    <m/>
    <m/>
    <m/>
    <s v="Yes"/>
    <s v="Medium"/>
    <s v="Good speed to power, powerful end, runs down for the ball, did more setting edge, plays high, needs to grow in pass rush"/>
    <m/>
    <m/>
    <m/>
    <m/>
    <m/>
  </r>
  <r>
    <x v="8"/>
    <x v="2"/>
    <n v="95"/>
    <x v="61"/>
    <s v="Iowa"/>
    <s v="6-2⅞"/>
    <n v="299"/>
    <s v="9½"/>
    <s v="30¾"/>
    <n v="4.9000000000000004"/>
    <n v="1.75"/>
    <n v="32"/>
    <s v="9-2"/>
    <n v="7.46"/>
    <n v="4.59"/>
    <m/>
    <s v="Yes"/>
    <s v="Medium"/>
    <s v="Outland finalist (best lineman), agility is a huge plus, may be too small for NFL, tough as hell, never gets pushed back"/>
    <m/>
    <m/>
    <m/>
    <m/>
    <m/>
  </r>
  <r>
    <x v="6"/>
    <x v="2"/>
    <n v="95"/>
    <x v="62"/>
    <s v="Tennessee"/>
    <s v="6-4"/>
    <n v="198"/>
    <n v="9"/>
    <s v="32 ⅜"/>
    <n v="4.37"/>
    <n v="1.52"/>
    <m/>
    <m/>
    <m/>
    <m/>
    <m/>
    <s v="Yes"/>
    <s v="High"/>
    <s v="Quick, in control, fast off the line, beat press with speed, hand catcher, like him a lot, great size, tracks ball well, wins 1:1s"/>
    <n v="1017"/>
    <n v="9"/>
    <m/>
    <m/>
    <m/>
  </r>
  <r>
    <x v="0"/>
    <x v="2"/>
    <n v="95"/>
    <x v="63"/>
    <s v="Nebraska"/>
    <s v="5-10 ¼"/>
    <n v="202"/>
    <s v="9 ⅝"/>
    <s v="30 ¼"/>
    <n v="4.5599999999999996"/>
    <n v="1.59"/>
    <n v="35.5"/>
    <s v="10-1"/>
    <n v="7.32"/>
    <n v="4.29"/>
    <n v="16"/>
    <s v="Maybe"/>
    <s v="Medium"/>
    <s v="Shifty back that does most things well for his size, great stop/start stutter step moves, north/south runner, tough"/>
    <n v="1451"/>
    <n v="12"/>
    <m/>
    <m/>
    <m/>
  </r>
  <r>
    <x v="1"/>
    <x v="2"/>
    <n v="95"/>
    <x v="64"/>
    <s v="Penn State"/>
    <s v="6-6"/>
    <n v="256"/>
    <s v="10⅛"/>
    <s v="33⅜"/>
    <n v="4.63"/>
    <n v="1.63"/>
    <n v="39.5"/>
    <s v="10-11"/>
    <n v="6.9"/>
    <m/>
    <n v="26"/>
    <m/>
    <s v="High"/>
    <s v="Great athlete and frame, great motor, strong, a bit stiff, not bendy, more DE than Edge"/>
    <m/>
    <m/>
    <m/>
    <m/>
    <m/>
  </r>
  <r>
    <x v="3"/>
    <x v="2"/>
    <n v="96"/>
    <x v="65"/>
    <s v="Miami"/>
    <s v="5-11 ¼"/>
    <n v="191"/>
    <s v="8 ⅝"/>
    <s v="31 ¼"/>
    <n v="4.43"/>
    <n v="1.58"/>
    <n v="38.5"/>
    <s v="10-11"/>
    <n v="7"/>
    <n v="4.18"/>
    <m/>
    <s v="Yes"/>
    <s v="High"/>
    <s v="Good ball skills, great int in FBS playoffs, blitzes frequently, good straight line speed, can play nickle, very physical- takes on OL"/>
    <m/>
    <m/>
    <m/>
    <m/>
    <m/>
  </r>
  <r>
    <x v="8"/>
    <x v="2"/>
    <n v="97"/>
    <x v="66"/>
    <s v="Texas A&amp;M"/>
    <s v="6-5¼"/>
    <n v="315"/>
    <s v="9¾"/>
    <s v="31¾"/>
    <n v="5.0199999999999996"/>
    <n v="1.76"/>
    <n v="32"/>
    <s v="8-9"/>
    <n v="7.53"/>
    <n v="4.78"/>
    <m/>
    <s v="Yes"/>
    <s v="Low"/>
    <s v="Good power, decent movement"/>
    <m/>
    <m/>
    <m/>
    <m/>
    <m/>
  </r>
  <r>
    <x v="3"/>
    <x v="2"/>
    <n v="98"/>
    <x v="67"/>
    <s v="Arizona State"/>
    <s v="5-10"/>
    <n v="189"/>
    <s v="9 ½"/>
    <n v="30"/>
    <n v="4.59"/>
    <n v="1.62"/>
    <n v="36"/>
    <m/>
    <n v="7.19"/>
    <n v="4.1900000000000004"/>
    <m/>
    <s v="Yes"/>
    <s v="Medium"/>
    <s v="Willing tackler, decent cover guy, small shifty in space, lack of straight-line speed, comes downhill fast tho"/>
    <m/>
    <m/>
    <m/>
    <m/>
    <m/>
  </r>
  <r>
    <x v="3"/>
    <x v="2"/>
    <n v="100"/>
    <x v="68"/>
    <s v="Texas A&amp;M"/>
    <s v="6-1 ½"/>
    <n v="200"/>
    <s v="9 ⅜"/>
    <s v="30 ⅝"/>
    <n v="4.49"/>
    <n v="1.56"/>
    <n v="35"/>
    <s v="10-9"/>
    <m/>
    <n v="4.28"/>
    <m/>
    <s v="Yes"/>
    <s v="Medium"/>
    <s v="Great size, length, smart player, explosive player even if slow 40"/>
    <m/>
    <m/>
    <m/>
    <m/>
    <m/>
  </r>
  <r>
    <x v="1"/>
    <x v="2"/>
    <n v="100"/>
    <x v="69"/>
    <s v="Tennessee"/>
    <s v="6-3"/>
    <n v="242"/>
    <n v="10"/>
    <s v="34¼"/>
    <m/>
    <m/>
    <m/>
    <m/>
    <m/>
    <m/>
    <m/>
    <s v="Maybe"/>
    <s v="High"/>
    <s v="A little light in the shorts, good effort, can get blocked by TE, can speed rush off the outside, beat good OT (Freeling)"/>
    <m/>
    <m/>
    <m/>
    <m/>
    <m/>
  </r>
  <r>
    <x v="7"/>
    <x v="2"/>
    <n v="100"/>
    <x v="70"/>
    <s v="Vanderbilt"/>
    <s v="6-3 ¾"/>
    <n v="239"/>
    <s v="9 ⅝"/>
    <s v="32 ⅝"/>
    <n v="4.51"/>
    <n v="1.59"/>
    <n v="45.5"/>
    <s v="11-3"/>
    <m/>
    <m/>
    <m/>
    <m/>
    <s v="High"/>
    <s v="Mackey Award finalist, explosive TE, really just a big WR, great YAC, physical"/>
    <n v="769"/>
    <n v="4"/>
    <m/>
    <m/>
    <m/>
  </r>
  <r>
    <x v="6"/>
    <x v="2"/>
    <n v="105"/>
    <x v="71"/>
    <s v="UConn"/>
    <s v="5-11 ⅝"/>
    <n v="192"/>
    <n v="10"/>
    <s v="31 ⅛"/>
    <n v="4.4000000000000004"/>
    <n v="1.53"/>
    <n v="41"/>
    <s v="11-1"/>
    <n v="6.65"/>
    <n v="4.1100000000000003"/>
    <m/>
    <s v="Maybe"/>
    <s v="High"/>
    <s v="Finalist for Biletnikoff award, Josh Downs type player, great body control, decent route runner, speed in field"/>
    <n v="1278"/>
    <n v="13"/>
    <m/>
    <m/>
    <m/>
  </r>
  <r>
    <x v="6"/>
    <x v="2"/>
    <n v="109"/>
    <x v="72"/>
    <s v="North Dakota State"/>
    <s v="6-3 ⅜"/>
    <n v="204"/>
    <s v="9 ¼"/>
    <s v="32 ⅛"/>
    <n v="4.34"/>
    <n v="1.49"/>
    <n v="41.5"/>
    <s v="11-1"/>
    <m/>
    <m/>
    <m/>
    <s v="Maybe"/>
    <s v="High"/>
    <s v="Tall and long player, fires out of stance, fantastic speed, small school guy, great hands and route runner"/>
    <n v="1079"/>
    <n v="8"/>
    <m/>
    <m/>
    <m/>
  </r>
  <r>
    <x v="5"/>
    <x v="3"/>
    <n v="94"/>
    <x v="73"/>
    <s v="Pittsburgh"/>
    <s v="6-01"/>
    <n v="220"/>
    <s v="9½"/>
    <s v="31¼"/>
    <n v="4.53"/>
    <n v="1.58"/>
    <n v="39.5"/>
    <s v="10-9"/>
    <n v="6.97"/>
    <n v="4.26"/>
    <m/>
    <s v="Yes"/>
    <s v="High"/>
    <s v="Good athlete and tackler, smaller player at LB, sideline to sideline, keeps square, great in coverage, chess piece (may be a safety)"/>
    <m/>
    <m/>
    <m/>
    <m/>
    <m/>
  </r>
  <r>
    <x v="5"/>
    <x v="3"/>
    <n v="95"/>
    <x v="74"/>
    <s v="Michigan"/>
    <s v="6-2 ½"/>
    <n v="238"/>
    <s v="9⅝"/>
    <s v="30½"/>
    <m/>
    <m/>
    <n v="36"/>
    <s v="9-11"/>
    <n v="7"/>
    <n v="4.26"/>
    <n v="17"/>
    <s v="No"/>
    <s v="High"/>
    <s v="Physical player, good short area quickness, shorter arms"/>
    <m/>
    <m/>
    <m/>
    <m/>
    <m/>
  </r>
  <r>
    <x v="5"/>
    <x v="3"/>
    <n v="96"/>
    <x v="75"/>
    <s v="Texas A&amp;M"/>
    <s v="5-11"/>
    <n v="226"/>
    <s v="8⅜"/>
    <n v="30"/>
    <m/>
    <m/>
    <m/>
    <m/>
    <n v="7.32"/>
    <n v="4.4800000000000004"/>
    <n v="25"/>
    <s v="Yes"/>
    <m/>
    <s v="Super smart, physical, stays square, smalller guy, not most athletic, gets stuck on blockers"/>
    <m/>
    <m/>
    <m/>
    <m/>
    <m/>
  </r>
  <r>
    <x v="5"/>
    <x v="3"/>
    <n v="97"/>
    <x v="76"/>
    <s v="LSU"/>
    <s v="6-1"/>
    <n v="223"/>
    <s v="8⅛"/>
    <s v="31⅜"/>
    <m/>
    <m/>
    <m/>
    <m/>
    <m/>
    <m/>
    <m/>
    <m/>
    <s v="Medium"/>
    <s v="Good motor/hussle, took green dot away from him, explosive, smallish guy, pass rusher?"/>
    <m/>
    <m/>
    <m/>
    <m/>
    <m/>
  </r>
  <r>
    <x v="5"/>
    <x v="3"/>
    <n v="99"/>
    <x v="77"/>
    <s v="Oklahoma"/>
    <s v="6-5"/>
    <n v="242"/>
    <s v="9½"/>
    <s v="32⅝"/>
    <n v="4.76"/>
    <m/>
    <n v="29.5"/>
    <m/>
    <m/>
    <n v="4.37"/>
    <m/>
    <s v="Yes"/>
    <s v="Medium"/>
    <s v="Good instincts, big game against Michigan, plays on the edge, in coverage, bit of a chess piece"/>
    <m/>
    <m/>
    <m/>
    <m/>
    <m/>
  </r>
  <r>
    <x v="4"/>
    <x v="3"/>
    <n v="110"/>
    <x v="78"/>
    <s v="USC"/>
    <s v="6-01"/>
    <n v="202"/>
    <s v="9 ¼"/>
    <s v="30 ⅝"/>
    <n v="4.47"/>
    <n v="1.57"/>
    <n v="36"/>
    <s v="10-1"/>
    <m/>
    <m/>
    <n v="16"/>
    <s v="Yes"/>
    <s v="High"/>
    <s v="Versatile, good athlete, physical tackler, cover TE, playmaker, tough"/>
    <m/>
    <m/>
    <m/>
    <m/>
    <m/>
  </r>
  <r>
    <x v="1"/>
    <x v="3"/>
    <n v="110"/>
    <x v="79"/>
    <s v="Iowa"/>
    <s v="6-6"/>
    <n v="258"/>
    <n v="9"/>
    <s v="32¼"/>
    <n v="4.8099999999999996"/>
    <n v="1.64"/>
    <n v="32.5"/>
    <s v="9-7"/>
    <n v="7.23"/>
    <n v="4.4800000000000004"/>
    <n v="26"/>
    <s v="Yes"/>
    <s v="Low"/>
    <s v="Dude is a playmaker, showed up huge against Oregon, relentless motor, not bendy or super athletic"/>
    <m/>
    <m/>
    <m/>
    <m/>
    <m/>
  </r>
  <r>
    <x v="1"/>
    <x v="3"/>
    <n v="111"/>
    <x v="80"/>
    <s v="Missouri"/>
    <s v="6-6"/>
    <n v="262"/>
    <s v="9½"/>
    <n v="33"/>
    <n v="4.75"/>
    <m/>
    <n v="31"/>
    <d v="2026-09-09T00:00:00"/>
    <m/>
    <m/>
    <m/>
    <s v="Maybe"/>
    <s v="High"/>
    <s v="Huge guy, very strong, stiff, bigger OTs can handle him, not twitchy, will need better pass rush plans, high potential"/>
    <m/>
    <m/>
    <m/>
    <m/>
    <m/>
  </r>
  <r>
    <x v="6"/>
    <x v="3"/>
    <n v="114"/>
    <x v="81"/>
    <s v="Oklahoma"/>
    <s v="5-9 ¾"/>
    <n v="180"/>
    <s v="9 ½"/>
    <s v="29 ⅜"/>
    <n v="4.3"/>
    <n v="1.49"/>
    <n v="42.5"/>
    <s v="10-11"/>
    <n v="7.21"/>
    <n v="4.22"/>
    <m/>
    <s v="Yes"/>
    <s v="High"/>
    <s v="Very small player but lightning fast and super athletic, playmaker, Tez Johnson type player"/>
    <n v="620"/>
    <n v="4"/>
    <m/>
    <m/>
    <m/>
  </r>
  <r>
    <x v="1"/>
    <x v="3"/>
    <n v="114"/>
    <x v="82"/>
    <s v="Illinois"/>
    <s v="6-4"/>
    <n v="260"/>
    <n v="10"/>
    <n v="33"/>
    <m/>
    <m/>
    <m/>
    <m/>
    <m/>
    <m/>
    <n v="30"/>
    <s v="Yes"/>
    <s v="High"/>
    <s v="Big and strong, long arms, some speed but can get overwhelmed by bigger linemen, good motor, very inconsistent"/>
    <m/>
    <m/>
    <m/>
    <m/>
    <m/>
  </r>
  <r>
    <x v="6"/>
    <x v="3"/>
    <n v="115"/>
    <x v="83"/>
    <s v="Ole Miss"/>
    <m/>
    <n v="207"/>
    <n v="10"/>
    <s v="31 ⅝"/>
    <n v="4.3600000000000003"/>
    <n v="1.53"/>
    <n v="36"/>
    <s v="10-7"/>
    <m/>
    <m/>
    <m/>
    <s v="Yes"/>
    <s v="Medium"/>
    <s v="Great speed, hands catcher, goes over the middle"/>
    <n v="811"/>
    <n v="6"/>
    <m/>
    <m/>
    <m/>
  </r>
  <r>
    <x v="8"/>
    <x v="3"/>
    <n v="115"/>
    <x v="84"/>
    <s v="Florida"/>
    <s v="6-5"/>
    <n v="303"/>
    <n v="10"/>
    <s v="32⅜"/>
    <n v="5.0999999999999996"/>
    <n v="1.74"/>
    <n v="32.5"/>
    <s v="9-2"/>
    <m/>
    <m/>
    <n v="22"/>
    <s v="Yes"/>
    <s v="Low"/>
    <s v="Plays Center, great mobility, used in screen games, not most powerful"/>
    <m/>
    <m/>
    <m/>
    <m/>
    <m/>
  </r>
  <r>
    <x v="4"/>
    <x v="3"/>
    <n v="115"/>
    <x v="85"/>
    <s v="LSU"/>
    <s v="6-01"/>
    <n v="215"/>
    <s v="9 ¼"/>
    <s v="30 ⅞"/>
    <n v="4.5199999999999996"/>
    <n v="1.62"/>
    <m/>
    <m/>
    <m/>
    <m/>
    <m/>
    <s v="Yes"/>
    <s v="Low"/>
    <s v="Mixes things up, physical player, not very quick in space, smart player though, almost LB, playmaker"/>
    <m/>
    <m/>
    <m/>
    <m/>
    <m/>
  </r>
  <r>
    <x v="2"/>
    <x v="3"/>
    <n v="115"/>
    <x v="86"/>
    <s v="Illinois"/>
    <s v="6-4⅜"/>
    <n v="322"/>
    <s v="10⅛"/>
    <s v="34¼"/>
    <n v="5.16"/>
    <n v="1.78"/>
    <n v="30.5"/>
    <s v="8-3"/>
    <m/>
    <m/>
    <m/>
    <m/>
    <s v="High"/>
    <s v="Big player, powerful IOL, decent feet and agility, strong hands but can't always sustain blocks, prob OG"/>
    <m/>
    <m/>
    <m/>
    <m/>
    <m/>
  </r>
  <r>
    <x v="0"/>
    <x v="3"/>
    <n v="115"/>
    <x v="87"/>
    <s v="Washington"/>
    <s v="5-8"/>
    <n v="220"/>
    <s v="9 ⅛"/>
    <s v="28 ⅞"/>
    <m/>
    <m/>
    <m/>
    <m/>
    <m/>
    <m/>
    <n v="22"/>
    <s v="Maybe"/>
    <s v="Medium"/>
    <s v="Not sure he was best back on his own team, short and stocky, good size, a complete back old school"/>
    <n v="758"/>
    <n v="15"/>
    <m/>
    <m/>
    <m/>
  </r>
  <r>
    <x v="1"/>
    <x v="3"/>
    <n v="115"/>
    <x v="88"/>
    <s v="Michigan"/>
    <s v="6-3 ½"/>
    <n v="240"/>
    <s v="10¼"/>
    <s v="34⅛"/>
    <n v="4.6399999999999997"/>
    <n v="1.61"/>
    <n v="33"/>
    <s v="10-3"/>
    <m/>
    <m/>
    <m/>
    <s v="No"/>
    <m/>
    <s v="Long and lean player, some questionable traits, explosive, effort looks hot then cold"/>
    <m/>
    <m/>
    <m/>
    <m/>
    <m/>
  </r>
  <r>
    <x v="8"/>
    <x v="3"/>
    <n v="118"/>
    <x v="89"/>
    <s v="Kentucky"/>
    <s v="6-4⅞"/>
    <n v="312"/>
    <s v="9¼"/>
    <s v="34¼"/>
    <n v="4.93"/>
    <n v="1.75"/>
    <n v="27"/>
    <s v="9-1"/>
    <m/>
    <m/>
    <n v="37"/>
    <m/>
    <s v="Low"/>
    <s v="Good power"/>
    <m/>
    <m/>
    <m/>
    <m/>
    <m/>
  </r>
  <r>
    <x v="8"/>
    <x v="3"/>
    <n v="119"/>
    <x v="90"/>
    <s v="Alabama"/>
    <s v="6-2"/>
    <n v="289"/>
    <s v="9½"/>
    <n v="32"/>
    <n v="4.95"/>
    <n v="1.7"/>
    <n v="32.5"/>
    <s v="9-10"/>
    <m/>
    <n v="4.72"/>
    <m/>
    <s v="Maybe"/>
    <s v="Medium"/>
    <s v="Center prospect, decent mover"/>
    <m/>
    <m/>
    <m/>
    <m/>
    <m/>
  </r>
  <r>
    <x v="9"/>
    <x v="3"/>
    <n v="120"/>
    <x v="91"/>
    <s v="Alabama"/>
    <s v="6-1"/>
    <n v="327"/>
    <s v="8⅝"/>
    <s v="30½"/>
    <n v="5.31"/>
    <n v="1.84"/>
    <n v="30"/>
    <s v="8-4"/>
    <m/>
    <m/>
    <n v="21"/>
    <s v="Yes"/>
    <s v="Low"/>
    <s v="Huge man at nose, moves well, alpha dog leader on defense, can rush passer"/>
    <m/>
    <m/>
    <m/>
    <m/>
    <m/>
  </r>
  <r>
    <x v="3"/>
    <x v="3"/>
    <n v="120"/>
    <x v="92"/>
    <s v="Georgia"/>
    <s v="6-1"/>
    <n v="179"/>
    <s v="8 ¼"/>
    <s v="31 ⅛"/>
    <n v="4.46"/>
    <n v="1.57"/>
    <n v="31.5"/>
    <s v="9-11"/>
    <m/>
    <m/>
    <m/>
    <s v="Yes"/>
    <s v="Medium"/>
    <s v="Tough, physical, plays in control"/>
    <m/>
    <m/>
    <m/>
    <n v="5"/>
    <n v="13"/>
  </r>
  <r>
    <x v="7"/>
    <x v="3"/>
    <n v="120"/>
    <x v="93"/>
    <s v="Georgia"/>
    <s v="6-5"/>
    <n v="245"/>
    <s v="9 ½"/>
    <s v="31 ⅝"/>
    <n v="4.49"/>
    <m/>
    <n v="38"/>
    <d v="2026-10-05T00:00:00"/>
    <m/>
    <m/>
    <n v="23"/>
    <s v="No"/>
    <s v="Medium"/>
    <s v="Good overall player for depth, a bit light but receiving threat, mediocre blocker"/>
    <n v="248"/>
    <n v="4"/>
    <m/>
    <m/>
    <m/>
  </r>
  <r>
    <x v="6"/>
    <x v="3"/>
    <n v="120"/>
    <x v="94"/>
    <s v="Clemson"/>
    <s v="5-11 ½"/>
    <n v="187"/>
    <s v="9 ¼"/>
    <s v="30 ⅝"/>
    <n v="4.41"/>
    <n v="1.55"/>
    <n v="39.5"/>
    <s v="10-4"/>
    <n v="6.76"/>
    <n v="4.0999999999999996"/>
    <m/>
    <s v="Yes"/>
    <s v="High"/>
    <s v="Explosive, willing blocker, returner"/>
    <n v="604"/>
    <n v="4"/>
    <m/>
    <m/>
    <m/>
  </r>
  <r>
    <x v="10"/>
    <x v="3"/>
    <n v="120"/>
    <x v="95"/>
    <s v="North Dakota State"/>
    <s v="6-2 ⅝"/>
    <n v="232"/>
    <s v="10 ¼"/>
    <s v="31 ⅝"/>
    <n v="4.5599999999999996"/>
    <n v="1.55"/>
    <n v="40"/>
    <s v="10-10"/>
    <n v="7.12"/>
    <n v="4.3600000000000003"/>
    <m/>
    <m/>
    <m/>
    <m/>
    <n v="2719"/>
    <n v="16"/>
    <m/>
    <m/>
    <m/>
  </r>
  <r>
    <x v="2"/>
    <x v="3"/>
    <n v="120"/>
    <x v="96"/>
    <s v="Northwestern"/>
    <s v="6-8"/>
    <n v="323"/>
    <n v="9"/>
    <s v="32¼"/>
    <m/>
    <m/>
    <n v="35.5"/>
    <s v="9-3"/>
    <n v="8.08"/>
    <n v="4.71"/>
    <m/>
    <m/>
    <s v="Medium"/>
    <s v="Does a job, decent hands, plays tall and not best feet, not most aggressive player"/>
    <m/>
    <m/>
    <m/>
    <m/>
    <m/>
  </r>
  <r>
    <x v="1"/>
    <x v="3"/>
    <n v="120"/>
    <x v="97"/>
    <s v="Michigan"/>
    <s v="6-4"/>
    <n v="255"/>
    <s v="9⅛"/>
    <s v="33⅜"/>
    <m/>
    <m/>
    <n v="30"/>
    <d v="2026-09-07T00:00:00"/>
    <m/>
    <m/>
    <m/>
    <s v="Maybe"/>
    <s v="Medium"/>
    <s v="Strong, long and lean OLB but not quick (good get off), goes back to championship team, high motor, plays too high"/>
    <m/>
    <m/>
    <m/>
    <m/>
    <m/>
  </r>
  <r>
    <x v="8"/>
    <x v="3"/>
    <n v="121"/>
    <x v="98"/>
    <s v="Texas A&amp;M"/>
    <s v="6-6½"/>
    <n v="312"/>
    <n v="10"/>
    <s v="32½"/>
    <m/>
    <m/>
    <m/>
    <m/>
    <m/>
    <m/>
    <m/>
    <s v="Yes"/>
    <s v="Low"/>
    <s v="Good footwork playing LT, like his smarts, grit, not super athletic though, aggressive, poor technique"/>
    <m/>
    <m/>
    <m/>
    <m/>
    <m/>
  </r>
  <r>
    <x v="1"/>
    <x v="3"/>
    <n v="122"/>
    <x v="99"/>
    <s v="Oklahoma"/>
    <s v="6-2 ¼"/>
    <n v="241"/>
    <s v="8⅞"/>
    <s v="31⅝"/>
    <n v="4.67"/>
    <n v="1.63"/>
    <n v="34"/>
    <d v="2026-09-11T00:00:00"/>
    <n v="7.4"/>
    <m/>
    <m/>
    <s v="No"/>
    <s v="Low"/>
    <s v="Top pass rusher for OK, smallish arms, not best testing, strong, good bull rush, boom or bust player"/>
    <m/>
    <m/>
    <m/>
    <m/>
    <m/>
  </r>
  <r>
    <x v="6"/>
    <x v="3"/>
    <n v="123"/>
    <x v="100"/>
    <s v="Alabama"/>
    <s v="6-1¼"/>
    <n v="206"/>
    <s v="9 ⅞"/>
    <s v="30 ⅜"/>
    <n v="4.45"/>
    <n v="1.52"/>
    <n v="32.5"/>
    <s v="10-5"/>
    <n v="6.71"/>
    <n v="4.3099999999999996"/>
    <m/>
    <s v="Maybe"/>
    <s v="Medium"/>
    <s v="Quick and twitchy WR"/>
    <n v="862"/>
    <n v="7"/>
    <m/>
    <m/>
    <m/>
  </r>
  <r>
    <x v="1"/>
    <x v="3"/>
    <n v="124"/>
    <x v="101"/>
    <s v="Auburn"/>
    <s v="6-4"/>
    <n v="253"/>
    <n v="9"/>
    <n v="32"/>
    <m/>
    <m/>
    <m/>
    <m/>
    <m/>
    <m/>
    <m/>
    <m/>
    <s v="Low"/>
    <s v="Explosive w/strong hands, can rush or play off line, weak in run game"/>
    <m/>
    <m/>
    <m/>
    <m/>
    <m/>
  </r>
  <r>
    <x v="9"/>
    <x v="3"/>
    <n v="125"/>
    <x v="102"/>
    <s v="NC State"/>
    <s v="6-3"/>
    <n v="307"/>
    <s v="9¼"/>
    <s v="32⅜"/>
    <n v="5.12"/>
    <n v="1.78"/>
    <m/>
    <m/>
    <m/>
    <m/>
    <n v="37"/>
    <s v="Yes"/>
    <s v="Medium"/>
    <s v="Stays square, violent hands, anchors very well against double teams, strong despite weight, 2 down NT"/>
    <m/>
    <m/>
    <m/>
    <m/>
    <m/>
  </r>
  <r>
    <x v="3"/>
    <x v="3"/>
    <n v="125"/>
    <x v="103"/>
    <s v="Washington"/>
    <s v="6-3 ⅜"/>
    <n v="193"/>
    <s v="9 ⅞"/>
    <s v="30 ⅝"/>
    <n v="4.4000000000000004"/>
    <n v="1.54"/>
    <n v="38"/>
    <s v="10-6"/>
    <n v="6.82"/>
    <n v="4.1500000000000004"/>
    <n v="17"/>
    <s v="Yes"/>
    <s v="High"/>
    <s v="Long player, plays physical, has decent speeed and agility, lots of upside"/>
    <m/>
    <m/>
    <m/>
    <n v="4"/>
    <n v="9"/>
  </r>
  <r>
    <x v="6"/>
    <x v="3"/>
    <n v="125"/>
    <x v="104"/>
    <s v="USC"/>
    <s v="6-4 ⅜"/>
    <n v="200"/>
    <s v="10 ½"/>
    <s v="32 ⅝"/>
    <n v="4.47"/>
    <n v="1.58"/>
    <n v="40"/>
    <s v="10-9"/>
    <m/>
    <m/>
    <m/>
    <m/>
    <s v="Medium"/>
    <m/>
    <n v="745"/>
    <n v="4"/>
    <m/>
    <m/>
    <m/>
  </r>
  <r>
    <x v="8"/>
    <x v="3"/>
    <n v="125"/>
    <x v="105"/>
    <s v="Duke"/>
    <s v="6-5¼"/>
    <n v="309"/>
    <n v="10"/>
    <s v="32⅞"/>
    <n v="5.14"/>
    <n v="1.78"/>
    <m/>
    <s v="9-1"/>
    <m/>
    <n v="4.8"/>
    <m/>
    <m/>
    <s v="Low"/>
    <m/>
    <m/>
    <m/>
    <m/>
    <m/>
    <m/>
  </r>
  <r>
    <x v="1"/>
    <x v="3"/>
    <n v="126"/>
    <x v="106"/>
    <s v="Oklahoma"/>
    <s v="6-5"/>
    <n v="245"/>
    <s v="9¼"/>
    <s v="33⅛"/>
    <n v="4.6900000000000004"/>
    <n v="1.65"/>
    <n v="34.5"/>
    <m/>
    <n v="7.44"/>
    <n v="4.42"/>
    <m/>
    <s v="Yes"/>
    <s v="Medium"/>
    <s v="Good length, moves better than his measurables show"/>
    <m/>
    <m/>
    <m/>
    <m/>
    <m/>
  </r>
  <r>
    <x v="9"/>
    <x v="3"/>
    <n v="130"/>
    <x v="107"/>
    <s v="Missouri"/>
    <s v="6-4"/>
    <n v="313"/>
    <n v="11"/>
    <n v="34"/>
    <n v="5.05"/>
    <n v="1.8"/>
    <n v="29.5"/>
    <s v="9-1"/>
    <n v="8.18"/>
    <n v="5"/>
    <n v="25"/>
    <m/>
    <s v="High"/>
    <s v="Long arms, strong hands, decent athlete, hot and cold effort, raw pass rusher, some versatility"/>
    <m/>
    <m/>
    <m/>
    <m/>
    <m/>
  </r>
  <r>
    <x v="0"/>
    <x v="3"/>
    <n v="130"/>
    <x v="108"/>
    <s v="Penn State"/>
    <s v="6-01"/>
    <n v="219"/>
    <s v="9 ⅜"/>
    <n v="31"/>
    <m/>
    <m/>
    <m/>
    <m/>
    <m/>
    <m/>
    <n v="25"/>
    <s v="Yes"/>
    <s v="Medium"/>
    <s v="Great production in 2024, good back that could pop, boom/bust potential."/>
    <n v="549"/>
    <n v="13"/>
    <m/>
    <m/>
    <m/>
  </r>
  <r>
    <x v="10"/>
    <x v="3"/>
    <n v="130"/>
    <x v="109"/>
    <s v="LSU"/>
    <s v="6-2"/>
    <n v="203"/>
    <s v="9 ⅛"/>
    <s v="30 ⅜"/>
    <m/>
    <m/>
    <m/>
    <m/>
    <m/>
    <m/>
    <m/>
    <m/>
    <m/>
    <m/>
    <n v="1927"/>
    <n v="12"/>
    <m/>
    <m/>
    <m/>
  </r>
  <r>
    <x v="7"/>
    <x v="3"/>
    <n v="130"/>
    <x v="110"/>
    <s v="Baylor"/>
    <s v="6-3 ¾"/>
    <n v="240"/>
    <s v="10 ½"/>
    <s v="34 ¼"/>
    <m/>
    <m/>
    <n v="27.5"/>
    <m/>
    <m/>
    <m/>
    <m/>
    <m/>
    <s v="Low"/>
    <s v="Mackey Award finalist"/>
    <n v="694"/>
    <n v="6"/>
    <m/>
    <m/>
    <m/>
  </r>
  <r>
    <x v="3"/>
    <x v="3"/>
    <n v="130"/>
    <x v="111"/>
    <s v="Oregon"/>
    <s v="5-10 ½"/>
    <n v="188"/>
    <n v="9"/>
    <s v="31 ¼"/>
    <n v="4.47"/>
    <m/>
    <n v="37.5"/>
    <d v="2026-10-07T00:00:00"/>
    <m/>
    <n v="4.21"/>
    <n v="14"/>
    <s v="Yes"/>
    <s v="Medium"/>
    <s v="Smaller CB but has good instincts and decent range overcoming his size, may play safety in NFL"/>
    <m/>
    <m/>
    <m/>
    <m/>
    <m/>
  </r>
  <r>
    <x v="9"/>
    <x v="3"/>
    <n v="132"/>
    <x v="112"/>
    <s v="Texas Tech"/>
    <s v="6-3 ½"/>
    <n v="318"/>
    <s v="9¼"/>
    <s v="33¼"/>
    <n v="5.18"/>
    <n v="1.79"/>
    <n v="21.5"/>
    <s v="8-4"/>
    <m/>
    <m/>
    <m/>
    <s v="Maybe"/>
    <s v="Low"/>
    <s v="Big physical long arms, good power, high motor, takes on double teams well, odd body shape, lacking athleticism"/>
    <m/>
    <m/>
    <m/>
    <m/>
    <m/>
  </r>
  <r>
    <x v="3"/>
    <x v="3"/>
    <n v="132"/>
    <x v="113"/>
    <s v="Texas"/>
    <s v="6-01"/>
    <n v="196"/>
    <s v="9 ⅝"/>
    <s v="31 ⅞"/>
    <n v="4.38"/>
    <n v="1.54"/>
    <n v="37.5"/>
    <s v="10-4"/>
    <m/>
    <m/>
    <m/>
    <s v="Yes"/>
    <m/>
    <s v="Willing tackler, long and lean, great speed, read react downhill"/>
    <m/>
    <m/>
    <m/>
    <m/>
    <m/>
  </r>
  <r>
    <x v="9"/>
    <x v="3"/>
    <n v="134"/>
    <x v="114"/>
    <s v="Penn State"/>
    <s v="6-1"/>
    <n v="290"/>
    <s v="10⅝"/>
    <s v="31⅞"/>
    <n v="4.75"/>
    <n v="1.66"/>
    <n v="33.5"/>
    <s v="9-4"/>
    <m/>
    <m/>
    <m/>
    <s v="Yes"/>
    <s v="High"/>
    <s v="Quick-twitch interior DT, strength is penetration, can't anchor at his size, elite speed, poor length and size for DT"/>
    <m/>
    <m/>
    <m/>
    <m/>
    <m/>
  </r>
  <r>
    <x v="0"/>
    <x v="3"/>
    <n v="135"/>
    <x v="115"/>
    <s v="Kentucky"/>
    <s v="6-0 ¼"/>
    <n v="223"/>
    <s v="8 ¾"/>
    <s v="31 ⅜"/>
    <n v="4.49"/>
    <n v="1.6"/>
    <n v="42.5"/>
    <s v="10-11"/>
    <m/>
    <n v="4.4000000000000004"/>
    <m/>
    <m/>
    <s v="High"/>
    <m/>
    <n v="725"/>
    <n v="12"/>
    <m/>
    <m/>
    <m/>
  </r>
  <r>
    <x v="3"/>
    <x v="3"/>
    <n v="135"/>
    <x v="116"/>
    <s v="Duke"/>
    <s v="5-9 ½"/>
    <n v="194"/>
    <s v="9 ⅛"/>
    <s v="31 ⅛"/>
    <n v="4.41"/>
    <n v="1.58"/>
    <m/>
    <m/>
    <m/>
    <m/>
    <m/>
    <s v="Yes"/>
    <m/>
    <m/>
    <m/>
    <m/>
    <m/>
    <m/>
    <m/>
  </r>
  <r>
    <x v="3"/>
    <x v="3"/>
    <n v="138"/>
    <x v="117"/>
    <s v="Arkansas"/>
    <s v="6-2"/>
    <n v="195"/>
    <n v="10"/>
    <s v="31 ⅛"/>
    <m/>
    <m/>
    <n v="39.5"/>
    <s v="10-5"/>
    <n v="6.9"/>
    <n v="4.29"/>
    <m/>
    <s v="Yes"/>
    <m/>
    <s v="Decent size and athleticism, can be grabby but solid CB. Would be good UDFA pickup, good ST player."/>
    <m/>
    <m/>
    <m/>
    <m/>
    <m/>
  </r>
  <r>
    <x v="9"/>
    <x v="3"/>
    <n v="140"/>
    <x v="118"/>
    <s v="Oklahoma"/>
    <s v="6-2 ⅝"/>
    <n v="293"/>
    <n v="10"/>
    <s v="31⅛"/>
    <n v="4.82"/>
    <n v="1.7"/>
    <n v="36.5"/>
    <s v="9-6"/>
    <n v="8.09"/>
    <n v="4.79"/>
    <n v="25"/>
    <s v="No"/>
    <s v="High"/>
    <s v="Good athleticism, more of a penetrator, short arms impact play, backup, gets pushed back in run game, high effort guy"/>
    <m/>
    <m/>
    <m/>
    <m/>
    <m/>
  </r>
  <r>
    <x v="9"/>
    <x v="3"/>
    <n v="143"/>
    <x v="119"/>
    <s v="Cincinnati"/>
    <s v="6-0 ⅝"/>
    <n v="340"/>
    <s v="9½"/>
    <s v="31⅞"/>
    <m/>
    <m/>
    <m/>
    <m/>
    <m/>
    <m/>
    <m/>
    <s v="Yes"/>
    <s v="Low"/>
    <s v="Huge man who can anchor and push the pocket, very strong, plays over C, not sure about athleticism, no pass rush"/>
    <m/>
    <m/>
    <m/>
    <m/>
    <m/>
  </r>
  <r>
    <x v="7"/>
    <x v="3"/>
    <n v="145"/>
    <x v="120"/>
    <s v="Michigan"/>
    <s v="6-6"/>
    <n v="248"/>
    <s v="9 ¼"/>
    <s v="32 ⅜"/>
    <n v="4.6100000000000003"/>
    <n v="1.64"/>
    <n v="36"/>
    <s v="9-9"/>
    <m/>
    <m/>
    <m/>
    <s v="Maybe"/>
    <s v="Medium"/>
    <s v="Big frame, middling explosion, captain, good blocker and pass catcher, hands catcher"/>
    <n v="248"/>
    <n v="1"/>
    <m/>
    <m/>
    <m/>
  </r>
  <r>
    <x v="5"/>
    <x v="4"/>
    <n v="115"/>
    <x v="121"/>
    <s v="Cincinnati"/>
    <s v="6-4 ½"/>
    <n v="239"/>
    <s v="9½"/>
    <s v="31⅞"/>
    <n v="4.62"/>
    <n v="1.6"/>
    <n v="39"/>
    <s v="10-5"/>
    <n v="7.02"/>
    <n v="4.34"/>
    <n v="22"/>
    <m/>
    <s v="High"/>
    <m/>
    <m/>
    <m/>
    <m/>
    <m/>
    <m/>
  </r>
  <r>
    <x v="5"/>
    <x v="4"/>
    <n v="120"/>
    <x v="122"/>
    <s v="Oregon"/>
    <s v="6-1"/>
    <n v="233"/>
    <n v="9"/>
    <s v="30⅝"/>
    <n v="4.6900000000000004"/>
    <m/>
    <n v="34.5"/>
    <d v="2026-09-08T00:00:00"/>
    <n v="7.25"/>
    <n v="4.3"/>
    <n v="21"/>
    <s v="Yes"/>
    <s v="Low"/>
    <s v="Good tackler, team leader, mixes it upp"/>
    <m/>
    <m/>
    <m/>
    <m/>
    <m/>
  </r>
  <r>
    <x v="5"/>
    <x v="4"/>
    <n v="125"/>
    <x v="123"/>
    <s v="Arizona State"/>
    <s v="6-2"/>
    <n v="231"/>
    <s v="9¼"/>
    <s v="31¼"/>
    <m/>
    <m/>
    <n v="38"/>
    <s v="10-5"/>
    <m/>
    <m/>
    <n v="21"/>
    <s v="Maybe"/>
    <s v="Medium"/>
    <s v="Nothing special, plays somewhat physical, great against the run, played edge, not most athletic (short area explosive though)"/>
    <m/>
    <m/>
    <m/>
    <m/>
    <m/>
  </r>
  <r>
    <x v="4"/>
    <x v="4"/>
    <n v="135"/>
    <x v="124"/>
    <s v="Arizona"/>
    <s v="6-2 ⅛"/>
    <n v="202"/>
    <s v="8 ⅞"/>
    <s v="32 ½"/>
    <n v="4.5"/>
    <m/>
    <n v="42.5"/>
    <s v="10-8"/>
    <n v="7.06"/>
    <n v="4.18"/>
    <n v="16"/>
    <s v="No"/>
    <s v="High"/>
    <s v="More FS, good range, not best/most physical tackler"/>
    <m/>
    <m/>
    <m/>
    <m/>
    <m/>
  </r>
  <r>
    <x v="2"/>
    <x v="4"/>
    <n v="140"/>
    <x v="125"/>
    <s v="Boise State"/>
    <s v="6-6"/>
    <n v="310"/>
    <s v="10¼"/>
    <s v="32¾"/>
    <n v="5.2"/>
    <n v="1.85"/>
    <m/>
    <m/>
    <n v="8.01"/>
    <m/>
    <m/>
    <m/>
    <s v="Medium"/>
    <s v="Potential OG, somewhat stiff, powerful, drive blocker, stiff legged, prob an OG"/>
    <m/>
    <m/>
    <m/>
    <m/>
    <m/>
  </r>
  <r>
    <x v="3"/>
    <x v="4"/>
    <n v="140"/>
    <x v="126"/>
    <s v="Iowa"/>
    <s v="6-1"/>
    <n v="193"/>
    <n v="9"/>
    <s v="31 ⅜"/>
    <n v="4.4400000000000004"/>
    <n v="1.58"/>
    <n v="40.5"/>
    <s v="10-5"/>
    <n v="6.75"/>
    <n v="4.12"/>
    <m/>
    <s v="Yes"/>
    <s v="High"/>
    <s v="Quick and fast, good attitude, comes downhill fast, they asked him to set the edge"/>
    <m/>
    <m/>
    <m/>
    <m/>
    <m/>
  </r>
  <r>
    <x v="8"/>
    <x v="4"/>
    <n v="142"/>
    <x v="127"/>
    <s v="Notre Dame"/>
    <s v="6-5"/>
    <n v="310"/>
    <s v="10¼"/>
    <s v="32⅞"/>
    <m/>
    <m/>
    <m/>
    <m/>
    <m/>
    <m/>
    <m/>
    <m/>
    <s v="Low"/>
    <m/>
    <m/>
    <m/>
    <m/>
    <m/>
    <m/>
  </r>
  <r>
    <x v="9"/>
    <x v="4"/>
    <n v="145"/>
    <x v="128"/>
    <s v="Michigan"/>
    <s v="6-3"/>
    <n v="298"/>
    <s v="9¼"/>
    <s v="33⅜"/>
    <m/>
    <m/>
    <m/>
    <m/>
    <n v="7.69"/>
    <n v="4.8899999999999997"/>
    <m/>
    <s v="No"/>
    <s v="Medium"/>
    <s v="Decent size, decent power, stoutish run defense, strong hands, good length, can get tall, 3 tech run defender"/>
    <m/>
    <m/>
    <m/>
    <m/>
    <m/>
  </r>
  <r>
    <x v="9"/>
    <x v="4"/>
    <n v="145"/>
    <x v="129"/>
    <s v="Texas Tech"/>
    <s v="6-1"/>
    <n v="280"/>
    <s v="9¼"/>
    <s v="30⅝"/>
    <m/>
    <m/>
    <m/>
    <m/>
    <m/>
    <m/>
    <n v="27"/>
    <m/>
    <s v="Medium"/>
    <s v="Sudden and explosive, high motor, good pass rush plan, smallish frame impacts run defense, pass rushing 3 tech"/>
    <m/>
    <m/>
    <m/>
    <m/>
    <m/>
  </r>
  <r>
    <x v="3"/>
    <x v="4"/>
    <n v="145"/>
    <x v="130"/>
    <s v="Washington"/>
    <s v="6-3 ⅞"/>
    <n v="185"/>
    <s v="9 ¾"/>
    <s v="29 ⅜"/>
    <n v="4.4000000000000004"/>
    <n v="1.55"/>
    <n v="39"/>
    <s v="10-10"/>
    <m/>
    <m/>
    <m/>
    <m/>
    <m/>
    <m/>
    <m/>
    <m/>
    <m/>
    <m/>
    <m/>
  </r>
  <r>
    <x v="6"/>
    <x v="4"/>
    <n v="145"/>
    <x v="131"/>
    <s v="Georgia State"/>
    <s v="6-3 ⅞"/>
    <n v="206"/>
    <s v="9 ⅝"/>
    <s v="32 ⅝"/>
    <n v="4.42"/>
    <n v="1.55"/>
    <n v="36.5"/>
    <s v="11-3"/>
    <m/>
    <m/>
    <m/>
    <m/>
    <s v="Medium"/>
    <m/>
    <n v="1004"/>
    <n v="6"/>
    <m/>
    <m/>
    <m/>
  </r>
  <r>
    <x v="4"/>
    <x v="4"/>
    <n v="145"/>
    <x v="132"/>
    <s v="USC"/>
    <s v="5-11"/>
    <n v="201"/>
    <s v="9 ½"/>
    <s v="31 ¼"/>
    <n v="4.55"/>
    <n v="1.58"/>
    <n v="33"/>
    <m/>
    <n v="6.99"/>
    <n v="4.2300000000000004"/>
    <n v="12"/>
    <s v="Maybe"/>
    <s v="Medium"/>
    <s v="Good instincts, not super athletic, lacks deep speed, playmaker"/>
    <m/>
    <m/>
    <m/>
    <m/>
    <m/>
  </r>
  <r>
    <x v="10"/>
    <x v="4"/>
    <n v="145"/>
    <x v="133"/>
    <s v="Tennessee"/>
    <s v="6-3"/>
    <n v="229"/>
    <s v="9 ⅝"/>
    <s v="31 ¾"/>
    <m/>
    <m/>
    <m/>
    <m/>
    <m/>
    <m/>
    <m/>
    <m/>
    <m/>
    <s v="Good field general, led a great offense that was schemed up well"/>
    <n v="3444"/>
    <n v="24"/>
    <m/>
    <m/>
    <m/>
  </r>
  <r>
    <x v="10"/>
    <x v="4"/>
    <n v="150"/>
    <x v="134"/>
    <s v="Penn State"/>
    <s v="6-5 ¼"/>
    <n v="228"/>
    <s v="9 ⅞"/>
    <s v="32 ¾"/>
    <m/>
    <m/>
    <m/>
    <m/>
    <m/>
    <m/>
    <m/>
    <m/>
    <m/>
    <m/>
    <n v="1100"/>
    <n v="8"/>
    <m/>
    <m/>
    <m/>
  </r>
  <r>
    <x v="6"/>
    <x v="4"/>
    <n v="150"/>
    <x v="135"/>
    <s v="Indiana"/>
    <s v="6-2 ½"/>
    <n v="210"/>
    <n v="10"/>
    <s v="31 ¼"/>
    <m/>
    <m/>
    <m/>
    <m/>
    <m/>
    <m/>
    <m/>
    <s v="No"/>
    <s v="Low"/>
    <s v="Bigger IU WR, gets open, another Mendoza favorite"/>
    <n v="830"/>
    <n v="15"/>
    <m/>
    <m/>
    <m/>
  </r>
  <r>
    <x v="3"/>
    <x v="4"/>
    <n v="150"/>
    <x v="136"/>
    <s v="Stephen F. Austin"/>
    <s v="6-1"/>
    <n v="185"/>
    <s v="9 ⅜"/>
    <s v="30 ⅜"/>
    <m/>
    <m/>
    <m/>
    <m/>
    <n v="7.28"/>
    <n v="4.25"/>
    <n v="15"/>
    <m/>
    <m/>
    <m/>
    <m/>
    <m/>
    <m/>
    <m/>
    <m/>
  </r>
  <r>
    <x v="10"/>
    <x v="4"/>
    <n v="150"/>
    <x v="137"/>
    <s v="Clemson"/>
    <s v="6-2"/>
    <n v="207"/>
    <s v="9 ¼"/>
    <s v="31 ⅛"/>
    <m/>
    <m/>
    <m/>
    <m/>
    <m/>
    <m/>
    <m/>
    <m/>
    <m/>
    <m/>
    <n v="2943"/>
    <n v="16"/>
    <m/>
    <m/>
    <m/>
  </r>
  <r>
    <x v="8"/>
    <x v="4"/>
    <n v="150"/>
    <x v="138"/>
    <s v="Oregon"/>
    <s v="6-6"/>
    <n v="308"/>
    <s v="10⅛"/>
    <s v="31¾"/>
    <n v="5.2"/>
    <m/>
    <n v="31"/>
    <d v="2026-08-03T00:00:00"/>
    <n v="7.69"/>
    <n v="4.9000000000000004"/>
    <n v="21"/>
    <m/>
    <s v="Low"/>
    <s v="Can play OT (not sure how well)"/>
    <m/>
    <m/>
    <m/>
    <m/>
    <m/>
  </r>
  <r>
    <x v="5"/>
    <x v="4"/>
    <n v="150"/>
    <x v="139"/>
    <s v="BYU"/>
    <s v="6-2"/>
    <n v="240"/>
    <s v="9⅛"/>
    <s v="31⅛"/>
    <n v="4.57"/>
    <n v="1.61"/>
    <n v="37"/>
    <s v="10-5"/>
    <n v="7.12"/>
    <n v="4.1900000000000004"/>
    <n v="19"/>
    <m/>
    <s v="High"/>
    <m/>
    <m/>
    <m/>
    <m/>
    <m/>
    <m/>
  </r>
  <r>
    <x v="8"/>
    <x v="4"/>
    <n v="151"/>
    <x v="140"/>
    <s v="Georgia"/>
    <s v="6-5¼"/>
    <n v="334"/>
    <s v="10⅜"/>
    <s v="33⅝"/>
    <n v="5.09"/>
    <n v="1.73"/>
    <n v="29.5"/>
    <s v="9-4"/>
    <m/>
    <m/>
    <m/>
    <s v="Yes"/>
    <s v="Low"/>
    <s v="Very solid guard, physical, can move, doesn't get bull rushed, powerful, gap/duo scheme great fit"/>
    <m/>
    <m/>
    <m/>
    <m/>
    <m/>
  </r>
  <r>
    <x v="8"/>
    <x v="4"/>
    <n v="152"/>
    <x v="141"/>
    <s v="Auburn"/>
    <s v="6-3⅜"/>
    <n v="310"/>
    <n v="9"/>
    <s v="32⅜"/>
    <m/>
    <m/>
    <m/>
    <m/>
    <m/>
    <m/>
    <m/>
    <m/>
    <s v="Low"/>
    <m/>
    <m/>
    <m/>
    <m/>
    <m/>
    <m/>
  </r>
  <r>
    <x v="8"/>
    <x v="4"/>
    <n v="154"/>
    <x v="142"/>
    <s v="Auburn"/>
    <s v="6-5"/>
    <n v="306"/>
    <s v="10¼"/>
    <s v="34½"/>
    <m/>
    <m/>
    <m/>
    <m/>
    <m/>
    <m/>
    <m/>
    <m/>
    <m/>
    <m/>
    <m/>
    <m/>
    <m/>
    <m/>
    <m/>
  </r>
  <r>
    <x v="9"/>
    <x v="4"/>
    <n v="155"/>
    <x v="143"/>
    <s v="Clemson"/>
    <s v="6-5"/>
    <n v="313"/>
    <s v="10¼"/>
    <s v="33⅞"/>
    <n v="4.8499999999999996"/>
    <n v="1.72"/>
    <n v="33.5"/>
    <s v="8-11"/>
    <m/>
    <m/>
    <m/>
    <s v="Yes"/>
    <s v="Medium"/>
    <s v="Big man who can move, sheds blocks"/>
    <m/>
    <m/>
    <m/>
    <m/>
    <m/>
  </r>
  <r>
    <x v="2"/>
    <x v="4"/>
    <n v="155"/>
    <x v="144"/>
    <s v="Maryland"/>
    <s v="6-5¼"/>
    <n v="308"/>
    <s v="9⅛"/>
    <s v="33⅛"/>
    <n v="5.09"/>
    <n v="1.84"/>
    <n v="32"/>
    <m/>
    <n v="8.1999999999999993"/>
    <n v="5.09"/>
    <m/>
    <m/>
    <s v="Low"/>
    <m/>
    <m/>
    <m/>
    <m/>
    <m/>
    <m/>
  </r>
  <r>
    <x v="6"/>
    <x v="4"/>
    <n v="155"/>
    <x v="145"/>
    <s v="LSU"/>
    <m/>
    <n v="177"/>
    <n v="9"/>
    <s v="31 ½"/>
    <n v="4.4000000000000004"/>
    <n v="1.62"/>
    <m/>
    <m/>
    <m/>
    <m/>
    <m/>
    <s v="Maybe"/>
    <s v="Medium"/>
    <s v="Long speed, light frame, a main target for LSU, not sure about short area quickness, tough player"/>
    <n v="532"/>
    <n v="1"/>
    <m/>
    <m/>
    <m/>
  </r>
  <r>
    <x v="8"/>
    <x v="4"/>
    <n v="155"/>
    <x v="146"/>
    <s v="Kansas State"/>
    <s v="6-4⅛"/>
    <n v="303"/>
    <s v="9⅞"/>
    <s v="31⅝"/>
    <n v="5.0999999999999996"/>
    <n v="1.73"/>
    <n v="28"/>
    <s v="8-5"/>
    <n v="7.75"/>
    <n v="4.71"/>
    <n v="20"/>
    <m/>
    <s v="Low"/>
    <m/>
    <m/>
    <m/>
    <m/>
    <m/>
    <m/>
  </r>
  <r>
    <x v="5"/>
    <x v="4"/>
    <n v="155"/>
    <x v="147"/>
    <s v="Iowa"/>
    <s v="6-1 ⅝"/>
    <n v="231"/>
    <s v="10⅛"/>
    <s v="31⅛"/>
    <n v="4.5599999999999996"/>
    <n v="1.59"/>
    <n v="40"/>
    <s v="10-3"/>
    <n v="6.98"/>
    <n v="4.2"/>
    <m/>
    <s v="Yes"/>
    <s v="High"/>
    <s v="Good measurables, stays square"/>
    <m/>
    <m/>
    <m/>
    <m/>
    <m/>
  </r>
  <r>
    <x v="5"/>
    <x v="4"/>
    <n v="155"/>
    <x v="148"/>
    <s v="Buffalo"/>
    <s v="6-2"/>
    <n v="232"/>
    <s v="10⅜"/>
    <n v="31"/>
    <m/>
    <m/>
    <m/>
    <m/>
    <m/>
    <m/>
    <m/>
    <m/>
    <m/>
    <s v="Very physical, good instincts"/>
    <m/>
    <m/>
    <m/>
    <m/>
    <m/>
  </r>
  <r>
    <x v="1"/>
    <x v="4"/>
    <n v="155"/>
    <x v="149"/>
    <s v="Wisconsin"/>
    <s v="6-5"/>
    <n v="251"/>
    <s v="10⅜"/>
    <s v="32⅝"/>
    <n v="4.78"/>
    <n v="1.61"/>
    <n v="40"/>
    <s v="10-5"/>
    <m/>
    <m/>
    <m/>
    <m/>
    <s v="Medium"/>
    <s v="Good hand usage, decent athlete, twitchy, weak against run gamee"/>
    <m/>
    <m/>
    <m/>
    <m/>
    <m/>
  </r>
  <r>
    <x v="6"/>
    <x v="4"/>
    <n v="159"/>
    <x v="150"/>
    <s v="Wisconsin"/>
    <m/>
    <n v="183"/>
    <s v="9 ⅛"/>
    <s v="31 ⅛"/>
    <n v="4.54"/>
    <n v="1.59"/>
    <n v="34.5"/>
    <d v="2026-09-07T00:00:00"/>
    <n v="6.86"/>
    <n v="4.07"/>
    <m/>
    <m/>
    <s v="Medium"/>
    <m/>
    <n v="391"/>
    <n v="1"/>
    <m/>
    <m/>
    <m/>
  </r>
  <r>
    <x v="7"/>
    <x v="4"/>
    <n v="159"/>
    <x v="151"/>
    <s v="Texas"/>
    <s v="6-4 ⅝"/>
    <n v="245"/>
    <s v="9 ⅝"/>
    <s v="31 ⅛"/>
    <n v="4.62"/>
    <n v="1.59"/>
    <n v="36"/>
    <s v="9-11"/>
    <m/>
    <m/>
    <m/>
    <m/>
    <s v="Medium"/>
    <m/>
    <n v="346"/>
    <n v="3"/>
    <m/>
    <m/>
    <m/>
  </r>
  <r>
    <x v="9"/>
    <x v="4"/>
    <n v="160"/>
    <x v="152"/>
    <s v="Iowa State"/>
    <s v="6-2"/>
    <n v="322"/>
    <s v="10¼"/>
    <s v="33⅜"/>
    <m/>
    <m/>
    <m/>
    <m/>
    <m/>
    <m/>
    <m/>
    <s v="Yes"/>
    <s v="Low"/>
    <s v="Classic NT over C, heavy hands and powerful anchor, great motor to the ball, size/strength/base, not athletic"/>
    <m/>
    <m/>
    <m/>
    <m/>
    <m/>
  </r>
  <r>
    <x v="9"/>
    <x v="4"/>
    <n v="160"/>
    <x v="153"/>
    <s v="Florida State"/>
    <s v="6-5 ⅝"/>
    <n v="315"/>
    <n v="11"/>
    <s v="34¾"/>
    <m/>
    <m/>
    <m/>
    <m/>
    <m/>
    <m/>
    <m/>
    <s v="Yes"/>
    <s v="Low"/>
    <s v="Classic 2-gapping NT with long amrs and huge hands, stacks and sheds, pretty much no pass rush"/>
    <m/>
    <m/>
    <m/>
    <m/>
    <m/>
  </r>
  <r>
    <x v="0"/>
    <x v="4"/>
    <n v="160"/>
    <x v="154"/>
    <s v="Wake Forest"/>
    <s v="5-9 ¾"/>
    <n v="188"/>
    <n v="9"/>
    <s v="30 ⅛"/>
    <n v="4.37"/>
    <n v="1.59"/>
    <m/>
    <s v="10-2"/>
    <m/>
    <m/>
    <m/>
    <m/>
    <s v="High"/>
    <s v="Great COD, very small RB, not bad contact balance, fumbled a lot, explosive runner is what he can do though"/>
    <n v="907"/>
    <n v="10"/>
    <m/>
    <m/>
    <m/>
  </r>
  <r>
    <x v="6"/>
    <x v="4"/>
    <n v="160"/>
    <x v="155"/>
    <s v="Iowa"/>
    <s v="5-9"/>
    <n v="193"/>
    <s v="8 ½"/>
    <s v="29 ⅝"/>
    <n v="4.47"/>
    <n v="1.58"/>
    <n v="35.5"/>
    <d v="2026-09-02T00:00:00"/>
    <n v="7.35"/>
    <n v="4.45"/>
    <m/>
    <s v="Yes"/>
    <s v="Medium"/>
    <s v="Electric player, chess piece, ST, does everything, Tez Johnson type"/>
    <n v="151"/>
    <n v="1"/>
    <m/>
    <m/>
    <m/>
  </r>
  <r>
    <x v="6"/>
    <x v="4"/>
    <n v="160"/>
    <x v="156"/>
    <s v="Notre Dame"/>
    <s v="6-4 ½"/>
    <n v="218"/>
    <n v="9"/>
    <s v="32 ⅛"/>
    <n v="4.6100000000000003"/>
    <n v="1.63"/>
    <n v="38"/>
    <s v="10-4"/>
    <n v="6.98"/>
    <n v="4.3499999999999996"/>
    <m/>
    <m/>
    <m/>
    <m/>
    <n v="630"/>
    <n v="5"/>
    <m/>
    <m/>
    <m/>
  </r>
  <r>
    <x v="6"/>
    <x v="4"/>
    <n v="160"/>
    <x v="157"/>
    <s v="TCU"/>
    <m/>
    <n v="194"/>
    <s v="9 ⅝"/>
    <s v="32 ⅝"/>
    <m/>
    <m/>
    <m/>
    <m/>
    <m/>
    <m/>
    <m/>
    <m/>
    <m/>
    <m/>
    <n v="1190"/>
    <n v="10"/>
    <m/>
    <m/>
    <m/>
  </r>
  <r>
    <x v="10"/>
    <x v="4"/>
    <n v="160"/>
    <x v="158"/>
    <s v="Miami"/>
    <s v="6-4 ¾"/>
    <n v="233"/>
    <n v="10"/>
    <s v="30 ⅝"/>
    <m/>
    <m/>
    <m/>
    <m/>
    <m/>
    <m/>
    <m/>
    <s v="No"/>
    <m/>
    <s v="Veteran CFB QB"/>
    <n v="3813"/>
    <n v="30"/>
    <m/>
    <m/>
    <m/>
  </r>
  <r>
    <x v="5"/>
    <x v="4"/>
    <n v="160"/>
    <x v="159"/>
    <s v="Alabama"/>
    <s v="6-3"/>
    <n v="226"/>
    <s v="9¼"/>
    <s v="31⅞"/>
    <m/>
    <m/>
    <m/>
    <m/>
    <m/>
    <m/>
    <m/>
    <m/>
    <s v="Medium"/>
    <s v="Decent athlete, lack of instincts, gets caught up in trash, slow processor"/>
    <m/>
    <m/>
    <m/>
    <m/>
    <m/>
  </r>
  <r>
    <x v="1"/>
    <x v="4"/>
    <n v="160"/>
    <x v="160"/>
    <s v="Western Michigan"/>
    <s v="6-2"/>
    <n v="247"/>
    <n v="9"/>
    <s v="31⅜"/>
    <n v="4.7300000000000004"/>
    <n v="1.63"/>
    <n v="33.5"/>
    <s v="9-11"/>
    <n v="7.44"/>
    <n v="4.68"/>
    <n v="22"/>
    <m/>
    <s v="Medium"/>
    <s v="Explosive, good speed, bendy, strong hands, didn't play against great teams"/>
    <m/>
    <m/>
    <m/>
    <m/>
    <m/>
  </r>
  <r>
    <x v="9"/>
    <x v="4"/>
    <n v="161"/>
    <x v="161"/>
    <s v="Texas A&amp;M"/>
    <s v="6-1"/>
    <n v="295"/>
    <s v="9⅝"/>
    <s v="31⅝"/>
    <n v="4.88"/>
    <n v="1.72"/>
    <n v="34"/>
    <s v="9-8"/>
    <n v="7.77"/>
    <n v="4.8499999999999996"/>
    <m/>
    <m/>
    <m/>
    <s v="Good run defender, strong leverage and hands, weak against doubles, not much pass rush, shorter arms, run stopping 1/3 tech"/>
    <m/>
    <m/>
    <m/>
    <m/>
    <m/>
  </r>
  <r>
    <x v="0"/>
    <x v="4"/>
    <n v="161"/>
    <x v="162"/>
    <s v="Texas A&amp;M"/>
    <s v="5-11"/>
    <n v="203"/>
    <s v="9 ½"/>
    <n v="31"/>
    <m/>
    <m/>
    <m/>
    <m/>
    <m/>
    <m/>
    <m/>
    <m/>
    <s v="Medium"/>
    <s v="Explosive, good vision/patience, north/south runner, good runner but not very well-rounded"/>
    <n v="404"/>
    <n v="6"/>
    <m/>
    <m/>
    <m/>
  </r>
  <r>
    <x v="0"/>
    <x v="4"/>
    <n v="162"/>
    <x v="163"/>
    <s v="Ohio State"/>
    <s v="6-2"/>
    <n v="230"/>
    <s v="9 ½"/>
    <s v="31 ¾"/>
    <m/>
    <m/>
    <m/>
    <m/>
    <m/>
    <m/>
    <m/>
    <s v="Yes"/>
    <s v="Low"/>
    <s v="Big bruiser, good vision, decent blocker, classic power back, very physical, yes please."/>
    <n v="361"/>
    <n v="10"/>
    <m/>
    <m/>
    <m/>
  </r>
  <r>
    <x v="0"/>
    <x v="4"/>
    <n v="162"/>
    <x v="164"/>
    <s v="Clemson"/>
    <s v="6-3 ⅜"/>
    <n v="232"/>
    <s v="9 ⅝"/>
    <s v="32 ⅜"/>
    <n v="4.5"/>
    <n v="1.6"/>
    <n v="37"/>
    <s v="10-4"/>
    <m/>
    <n v="4.53"/>
    <n v="26"/>
    <s v="Yes"/>
    <s v="Medium"/>
    <s v="Big powerful back, Derrick Henry lite, patient, falls forward, not the best hands"/>
    <n v="814"/>
    <n v="10"/>
    <m/>
    <m/>
    <m/>
  </r>
  <r>
    <x v="9"/>
    <x v="4"/>
    <n v="165"/>
    <x v="165"/>
    <s v="Ole Miss"/>
    <s v="6-8"/>
    <n v="330"/>
    <n v="10"/>
    <s v="34⅝"/>
    <m/>
    <m/>
    <m/>
    <m/>
    <m/>
    <m/>
    <m/>
    <s v="No"/>
    <s v="High"/>
    <s v="Huge man who moves surprisingly well for his size, more of a penetrator than anchor, good bull rush, bats balls down, project"/>
    <m/>
    <m/>
    <m/>
    <m/>
    <m/>
  </r>
  <r>
    <x v="1"/>
    <x v="4"/>
    <n v="165"/>
    <x v="166"/>
    <s v="Texas"/>
    <s v="6-2"/>
    <n v="243"/>
    <s v="10½"/>
    <s v="31⅝"/>
    <n v="4.54"/>
    <n v="1.6"/>
    <n v="38.5"/>
    <s v="10-1"/>
    <m/>
    <n v="4.43"/>
    <m/>
    <m/>
    <m/>
    <s v="Twitchy without elite burst, violent tackler, should be edge player full time"/>
    <m/>
    <m/>
    <m/>
    <m/>
    <m/>
  </r>
  <r>
    <x v="9"/>
    <x v="4"/>
    <n v="165"/>
    <x v="167"/>
    <s v="Oklahoma"/>
    <s v="6-2"/>
    <n v="305"/>
    <n v="10"/>
    <s v="33⅛"/>
    <m/>
    <m/>
    <m/>
    <d v="2026-08-04T00:00:00"/>
    <m/>
    <n v="4.96"/>
    <n v="30"/>
    <s v="Yes"/>
    <s v="Low"/>
    <s v="Good length, saw nice trap move, does dirty work inside, strong effort"/>
    <m/>
    <m/>
    <m/>
    <m/>
    <m/>
  </r>
  <r>
    <x v="0"/>
    <x v="4"/>
    <n v="170"/>
    <x v="168"/>
    <s v="Oklahoma"/>
    <s v="5-11"/>
    <n v="198"/>
    <m/>
    <m/>
    <n v="4.46"/>
    <m/>
    <n v="40.5"/>
    <s v="10-11"/>
    <n v="7.06"/>
    <n v="4.24"/>
    <n v="16"/>
    <s v="No"/>
    <s v="High"/>
    <s v="Athletic player, didn't play much in 2025 for school decision, potential off field issues"/>
    <m/>
    <m/>
    <m/>
    <m/>
    <m/>
  </r>
  <r>
    <x v="0"/>
    <x v="4"/>
    <n v="171"/>
    <x v="169"/>
    <s v="Penn State"/>
    <s v="5-11"/>
    <n v="216"/>
    <s v="9 ½"/>
    <s v="29 ½"/>
    <m/>
    <m/>
    <m/>
    <m/>
    <m/>
    <m/>
    <m/>
    <s v="Maybe"/>
    <s v="Low"/>
    <s v="Strong and tough runner, lack of burst, inconsistent WR and blocker out of backfield"/>
    <n v="1303"/>
    <n v="15"/>
    <m/>
    <m/>
    <m/>
  </r>
  <r>
    <x v="4"/>
    <x v="4"/>
    <n v="180"/>
    <x v="170"/>
    <s v="South Carolina"/>
    <s v="6-1"/>
    <n v="210"/>
    <s v="9 ⅜"/>
    <s v="32 ⅞"/>
    <n v="4.4000000000000004"/>
    <n v="1.56"/>
    <n v="37"/>
    <s v="10-10"/>
    <m/>
    <n v="4.32"/>
    <n v="16"/>
    <m/>
    <s v="High"/>
    <s v="Big nickle, SS type, physical, good measurables, ball skills, somewhat of a project w/instincts"/>
    <m/>
    <m/>
    <m/>
    <m/>
    <m/>
  </r>
  <r>
    <x v="4"/>
    <x v="4"/>
    <n v="185"/>
    <x v="171"/>
    <s v="Kansas State"/>
    <s v="6-3"/>
    <n v="206"/>
    <s v="9 ½"/>
    <s v="33 ¾"/>
    <n v="4.4000000000000004"/>
    <n v="1.52"/>
    <n v="35"/>
    <s v="10-7"/>
    <n v="6.94"/>
    <n v="4.33"/>
    <m/>
    <m/>
    <s v="Medium"/>
    <m/>
    <m/>
    <m/>
    <m/>
    <m/>
    <m/>
  </r>
  <r>
    <x v="8"/>
    <x v="5"/>
    <n v="153"/>
    <x v="172"/>
    <s v="Boston College"/>
    <s v="6-7"/>
    <n v="314"/>
    <s v="10½"/>
    <s v="33⅞"/>
    <n v="5.19"/>
    <n v="1.82"/>
    <n v="31"/>
    <s v="9-1"/>
    <n v="7.75"/>
    <n v="4.84"/>
    <m/>
    <m/>
    <s v="Medium"/>
    <m/>
    <m/>
    <m/>
    <m/>
    <m/>
    <m/>
  </r>
  <r>
    <x v="6"/>
    <x v="5"/>
    <n v="159"/>
    <x v="173"/>
    <s v="Baylor"/>
    <s v="6-1 ½"/>
    <n v="220"/>
    <s v="10 ¼"/>
    <s v="33 ⅛"/>
    <m/>
    <m/>
    <m/>
    <m/>
    <m/>
    <m/>
    <m/>
    <m/>
    <m/>
    <m/>
    <n v="872"/>
    <n v="9"/>
    <m/>
    <m/>
    <m/>
  </r>
  <r>
    <x v="7"/>
    <x v="5"/>
    <n v="160"/>
    <x v="174"/>
    <s v="Oklahoma"/>
    <s v="6-2"/>
    <n v="234"/>
    <s v="9 ⅜"/>
    <s v="30 ½"/>
    <n v="4.5199999999999996"/>
    <n v="1.61"/>
    <n v="36"/>
    <s v="9-11"/>
    <n v="7.21"/>
    <n v="4.2699999999999996"/>
    <m/>
    <s v="Yes"/>
    <s v="Medium"/>
    <s v="Good blocker, can catch, average athletcism, short arms, very tough player"/>
    <n v="533"/>
    <m/>
    <m/>
    <m/>
    <m/>
  </r>
  <r>
    <x v="7"/>
    <x v="5"/>
    <n v="165"/>
    <x v="175"/>
    <s v="Ohio State"/>
    <s v="6-4 ⅜"/>
    <n v="246"/>
    <s v="9 ⅛"/>
    <s v="32 ⅛"/>
    <m/>
    <m/>
    <m/>
    <m/>
    <m/>
    <m/>
    <m/>
    <s v="Yes"/>
    <s v="Low"/>
    <s v="Understands blocking angles and plays a big part in that part of game, late round ST"/>
    <n v="448"/>
    <n v="2"/>
    <m/>
    <m/>
    <m/>
  </r>
  <r>
    <x v="2"/>
    <x v="5"/>
    <n v="170"/>
    <x v="176"/>
    <s v="Ole Miss"/>
    <s v="6-6"/>
    <n v="325"/>
    <s v="9¾"/>
    <s v="33¾"/>
    <n v="5.15"/>
    <n v="1.77"/>
    <n v="30"/>
    <s v="9-4"/>
    <n v="7.9"/>
    <m/>
    <m/>
    <m/>
    <s v="Low"/>
    <m/>
    <m/>
    <m/>
    <m/>
    <m/>
    <m/>
  </r>
  <r>
    <x v="5"/>
    <x v="5"/>
    <n v="170"/>
    <x v="177"/>
    <s v="Oklahoma"/>
    <s v="6-1 ½"/>
    <n v="227"/>
    <s v="9⅝"/>
    <s v="30⅛"/>
    <n v="4.62"/>
    <n v="1.62"/>
    <n v="34.5"/>
    <s v="9-11"/>
    <n v="7.15"/>
    <n v="4.2699999999999996"/>
    <m/>
    <s v="No"/>
    <s v="Medium"/>
    <s v="Backup linebacker"/>
    <m/>
    <m/>
    <m/>
    <m/>
    <m/>
  </r>
  <r>
    <x v="1"/>
    <x v="5"/>
    <n v="170"/>
    <x v="178"/>
    <s v="Ohio State"/>
    <s v="6-3"/>
    <n v="257"/>
    <s v="9⅜"/>
    <s v="30⅛"/>
    <m/>
    <m/>
    <m/>
    <m/>
    <m/>
    <m/>
    <m/>
    <m/>
    <s v="Medium"/>
    <s v="Shorter arms, very disruptive despite lacking explosiveness, can play inside, not great vs. run, great motor, impacts game"/>
    <m/>
    <m/>
    <m/>
    <m/>
    <m/>
  </r>
  <r>
    <x v="9"/>
    <x v="5"/>
    <n v="170"/>
    <x v="179"/>
    <s v="Alabama"/>
    <s v="6-3"/>
    <n v="274"/>
    <s v="10⅝"/>
    <s v="33¼"/>
    <n v="4.87"/>
    <n v="1.7"/>
    <m/>
    <m/>
    <m/>
    <m/>
    <m/>
    <s v="No"/>
    <s v="Medium"/>
    <s v="Long arms, hot and cold showing, lack of athleticism, bit of a tweener, underwhelming, low ceiling"/>
    <m/>
    <m/>
    <m/>
    <m/>
    <m/>
  </r>
  <r>
    <x v="8"/>
    <x v="5"/>
    <n v="174"/>
    <x v="180"/>
    <s v="Texas A&amp;M"/>
    <s v="6-6"/>
    <n v="314"/>
    <n v="10"/>
    <s v="34⅜"/>
    <n v="5.28"/>
    <n v="1.85"/>
    <n v="29.5"/>
    <s v="9-2"/>
    <n v="7.88"/>
    <m/>
    <m/>
    <m/>
    <s v="Low"/>
    <m/>
    <m/>
    <m/>
    <m/>
    <m/>
    <m/>
  </r>
  <r>
    <x v="6"/>
    <x v="5"/>
    <n v="175"/>
    <x v="181"/>
    <s v="Cincinnati"/>
    <m/>
    <n v="216"/>
    <s v="9 ⅝"/>
    <s v="32 ⅝"/>
    <n v="4.3099999999999996"/>
    <n v="1.48"/>
    <n v="42"/>
    <s v="11-2"/>
    <m/>
    <m/>
    <m/>
    <m/>
    <s v="High"/>
    <m/>
    <n v="478"/>
    <n v="6"/>
    <m/>
    <m/>
    <m/>
  </r>
  <r>
    <x v="4"/>
    <x v="5"/>
    <n v="175"/>
    <x v="182"/>
    <s v="Miami"/>
    <s v="6-1 ¼"/>
    <n v="211"/>
    <s v="10 ⅝"/>
    <s v="31 ⅞"/>
    <m/>
    <m/>
    <m/>
    <m/>
    <m/>
    <m/>
    <m/>
    <s v="Yes"/>
    <m/>
    <s v="Good hitter, can play center field, later round FS"/>
    <m/>
    <m/>
    <m/>
    <m/>
    <m/>
  </r>
  <r>
    <x v="2"/>
    <x v="5"/>
    <n v="175"/>
    <x v="183"/>
    <s v="Kansas"/>
    <s v="6-5½"/>
    <n v="313"/>
    <s v="10¼"/>
    <s v="33¾"/>
    <n v="4.9400000000000004"/>
    <n v="1.74"/>
    <n v="35"/>
    <s v="9-8"/>
    <m/>
    <m/>
    <m/>
    <m/>
    <s v="High"/>
    <m/>
    <m/>
    <m/>
    <m/>
    <m/>
    <m/>
  </r>
  <r>
    <x v="8"/>
    <x v="5"/>
    <n v="175"/>
    <x v="184"/>
    <s v="Texas"/>
    <s v="6-3"/>
    <n v="313"/>
    <s v="10¼"/>
    <s v="34¼"/>
    <n v="5.01"/>
    <n v="1.76"/>
    <n v="26.5"/>
    <s v="8-8"/>
    <m/>
    <m/>
    <m/>
    <m/>
    <s v="Low"/>
    <m/>
    <m/>
    <m/>
    <m/>
    <m/>
    <m/>
  </r>
  <r>
    <x v="8"/>
    <x v="5"/>
    <n v="177"/>
    <x v="185"/>
    <s v="Northwestern"/>
    <s v="6-3½"/>
    <n v="301"/>
    <s v="9⅜"/>
    <s v="32⅛"/>
    <n v="5.25"/>
    <n v="1.82"/>
    <n v="32.5"/>
    <s v="8-9"/>
    <n v="7.65"/>
    <n v="4.8"/>
    <m/>
    <m/>
    <m/>
    <m/>
    <m/>
    <m/>
    <m/>
    <m/>
    <m/>
  </r>
  <r>
    <x v="8"/>
    <x v="5"/>
    <n v="178"/>
    <x v="186"/>
    <s v="Oklahoma"/>
    <s v="6-4"/>
    <n v="319"/>
    <s v="9⅝"/>
    <s v="34¼"/>
    <m/>
    <m/>
    <n v="24.5"/>
    <s v="8-9"/>
    <n v="7.8"/>
    <n v="4.7300000000000004"/>
    <m/>
    <s v="Yes"/>
    <m/>
    <s v="Long arms, decent mover, not bad player, nasty demeanor"/>
    <m/>
    <m/>
    <m/>
    <m/>
    <m/>
  </r>
  <r>
    <x v="0"/>
    <x v="5"/>
    <n v="179"/>
    <x v="187"/>
    <s v="South Carolina"/>
    <s v="5-10"/>
    <n v="208"/>
    <n v="9"/>
    <s v="30 ⅞"/>
    <n v="4.62"/>
    <m/>
    <n v="37.5"/>
    <s v="10-2"/>
    <m/>
    <n v="4.26"/>
    <n v="14"/>
    <s v="Yes"/>
    <s v="High"/>
    <s v="26 yo player, good patience, lateral agility, decisive, dosen't have long speed, more quick than fast"/>
    <n v="470"/>
    <n v="3"/>
    <m/>
    <m/>
    <m/>
  </r>
  <r>
    <x v="8"/>
    <x v="5"/>
    <n v="180"/>
    <x v="188"/>
    <s v="Iowa"/>
    <s v="6-5½"/>
    <n v="315"/>
    <s v="9¼"/>
    <s v="31¼"/>
    <n v="5.35"/>
    <n v="1.82"/>
    <n v="30"/>
    <s v="8-6"/>
    <n v="7.6"/>
    <n v="4.8499999999999996"/>
    <m/>
    <m/>
    <s v="Medium"/>
    <m/>
    <m/>
    <m/>
    <m/>
    <m/>
    <m/>
  </r>
  <r>
    <x v="8"/>
    <x v="5"/>
    <n v="180"/>
    <x v="189"/>
    <s v="Kentucky"/>
    <s v="6-4"/>
    <n v="312"/>
    <s v="10⅛"/>
    <s v="32½"/>
    <n v="4.9400000000000004"/>
    <n v="1.76"/>
    <n v="28"/>
    <s v="9-3"/>
    <n v="7.62"/>
    <n v="4.5199999999999996"/>
    <n v="28"/>
    <m/>
    <m/>
    <m/>
    <m/>
    <m/>
    <m/>
    <m/>
    <m/>
  </r>
  <r>
    <x v="8"/>
    <x v="5"/>
    <n v="180"/>
    <x v="190"/>
    <s v="Arkansas"/>
    <s v="6-5"/>
    <n v="316"/>
    <s v="9½"/>
    <s v="32¼"/>
    <n v="5.22"/>
    <n v="1.85"/>
    <n v="29"/>
    <s v="8-7"/>
    <n v="7.5"/>
    <n v="4.75"/>
    <m/>
    <m/>
    <m/>
    <m/>
    <m/>
    <m/>
    <m/>
    <m/>
    <m/>
  </r>
  <r>
    <x v="6"/>
    <x v="5"/>
    <n v="180"/>
    <x v="191"/>
    <s v="Georgia"/>
    <m/>
    <n v="209"/>
    <s v="9 ½"/>
    <s v="30 ¼"/>
    <n v="4.5"/>
    <n v="1.58"/>
    <n v="39"/>
    <s v="10-6"/>
    <m/>
    <m/>
    <m/>
    <s v="No"/>
    <s v="Medium"/>
    <s v="Decent yak, late round WR, maybe UDFA"/>
    <n v="279"/>
    <n v="2"/>
    <m/>
    <m/>
    <m/>
  </r>
  <r>
    <x v="6"/>
    <x v="5"/>
    <n v="180"/>
    <x v="192"/>
    <s v="Georgia"/>
    <m/>
    <n v="218"/>
    <s v="9 ½"/>
    <s v="31 ⅞"/>
    <n v="4.49"/>
    <m/>
    <m/>
    <m/>
    <m/>
    <m/>
    <m/>
    <s v="Yes"/>
    <s v="Low"/>
    <s v="Tough, reliable but more of a depth WR or ST"/>
    <n v="358"/>
    <n v="1"/>
    <m/>
    <m/>
    <m/>
  </r>
  <r>
    <x v="6"/>
    <x v="5"/>
    <n v="180"/>
    <x v="193"/>
    <s v="Georgia Tech"/>
    <m/>
    <n v="176"/>
    <n v="9"/>
    <s v="30 ½"/>
    <n v="4.3499999999999996"/>
    <n v="1.52"/>
    <n v="37"/>
    <s v="10-7"/>
    <m/>
    <m/>
    <m/>
    <m/>
    <m/>
    <m/>
    <n v="556"/>
    <n v="1"/>
    <m/>
    <m/>
    <m/>
  </r>
  <r>
    <x v="8"/>
    <x v="5"/>
    <n v="180"/>
    <x v="194"/>
    <s v="UCLA"/>
    <s v="6-6⅝"/>
    <n v="319"/>
    <s v="10⅛"/>
    <s v="32⅝"/>
    <n v="5.36"/>
    <n v="1.86"/>
    <n v="29.5"/>
    <s v="8-10"/>
    <n v="7.89"/>
    <n v="4.9000000000000004"/>
    <m/>
    <m/>
    <m/>
    <m/>
    <m/>
    <m/>
    <m/>
    <m/>
    <m/>
  </r>
  <r>
    <x v="6"/>
    <x v="5"/>
    <n v="180"/>
    <x v="195"/>
    <s v="Mississippi State"/>
    <s v="5-9 ⅜"/>
    <n v="164"/>
    <n v="9"/>
    <s v="29 ⅜"/>
    <n v="4.26"/>
    <n v="1.54"/>
    <m/>
    <m/>
    <m/>
    <m/>
    <m/>
    <m/>
    <m/>
    <s v="Tiny player, gadget options, too small to block"/>
    <n v="1054"/>
    <n v="6"/>
    <m/>
    <m/>
    <m/>
  </r>
  <r>
    <x v="6"/>
    <x v="5"/>
    <n v="180"/>
    <x v="196"/>
    <s v="Ole Miss"/>
    <m/>
    <n v="192"/>
    <s v="8 ⅜"/>
    <s v="32 ⅛"/>
    <n v="4.54"/>
    <n v="1.58"/>
    <m/>
    <m/>
    <m/>
    <m/>
    <m/>
    <m/>
    <m/>
    <m/>
    <n v="934"/>
    <n v="4"/>
    <m/>
    <m/>
    <m/>
  </r>
  <r>
    <x v="2"/>
    <x v="5"/>
    <n v="180"/>
    <x v="197"/>
    <s v="Notre Dame"/>
    <s v="6-5⅞"/>
    <n v="306"/>
    <s v="10¼"/>
    <s v="34½"/>
    <n v="5.01"/>
    <n v="1.79"/>
    <n v="29.5"/>
    <s v="9-1"/>
    <m/>
    <m/>
    <m/>
    <m/>
    <s v="Low"/>
    <m/>
    <m/>
    <m/>
    <m/>
    <m/>
    <m/>
  </r>
  <r>
    <x v="8"/>
    <x v="5"/>
    <n v="180"/>
    <x v="198"/>
    <s v="Michigan State"/>
    <s v="6-4"/>
    <n v="305"/>
    <s v="9½"/>
    <s v="31¾"/>
    <m/>
    <m/>
    <n v="28"/>
    <m/>
    <n v="8.33"/>
    <n v="4.96"/>
    <n v="21"/>
    <m/>
    <m/>
    <m/>
    <m/>
    <m/>
    <m/>
    <m/>
    <m/>
  </r>
  <r>
    <x v="7"/>
    <x v="5"/>
    <n v="180"/>
    <x v="199"/>
    <s v="Stanford"/>
    <s v="6-6"/>
    <n v="267"/>
    <n v="10"/>
    <s v="30 ⅝"/>
    <n v="4.7"/>
    <n v="1.61"/>
    <n v="38.5"/>
    <s v="10-6"/>
    <n v="7.02"/>
    <n v="4.2699999999999996"/>
    <m/>
    <m/>
    <s v="High"/>
    <m/>
    <n v="545"/>
    <n v="2"/>
    <m/>
    <m/>
    <m/>
  </r>
  <r>
    <x v="8"/>
    <x v="5"/>
    <n v="180"/>
    <x v="200"/>
    <s v="Auburn"/>
    <s v="6-3"/>
    <n v="316"/>
    <n v="10"/>
    <s v="31⅞"/>
    <n v="5.0199999999999996"/>
    <n v="1.75"/>
    <n v="28.5"/>
    <s v="8-8"/>
    <m/>
    <m/>
    <m/>
    <m/>
    <m/>
    <m/>
    <m/>
    <m/>
    <m/>
    <m/>
    <m/>
  </r>
  <r>
    <x v="8"/>
    <x v="5"/>
    <n v="180"/>
    <x v="201"/>
    <s v="Alabama"/>
    <s v="6-5"/>
    <n v="333"/>
    <s v="10¼"/>
    <s v="33⅜"/>
    <m/>
    <m/>
    <m/>
    <m/>
    <m/>
    <m/>
    <m/>
    <m/>
    <m/>
    <m/>
    <m/>
    <m/>
    <m/>
    <m/>
    <m/>
  </r>
  <r>
    <x v="5"/>
    <x v="5"/>
    <n v="180"/>
    <x v="202"/>
    <s v="TCU"/>
    <s v="6-3"/>
    <n v="229"/>
    <s v="10½"/>
    <s v="30⅝"/>
    <n v="4.53"/>
    <n v="1.56"/>
    <n v="37"/>
    <s v="9-11"/>
    <n v="7.24"/>
    <n v="4.3600000000000003"/>
    <m/>
    <m/>
    <s v="Medium"/>
    <m/>
    <m/>
    <m/>
    <m/>
    <m/>
    <m/>
  </r>
  <r>
    <x v="5"/>
    <x v="5"/>
    <n v="180"/>
    <x v="203"/>
    <s v="TCU"/>
    <s v="6-2"/>
    <n v="234"/>
    <n v="9"/>
    <s v="31½"/>
    <n v="4.47"/>
    <n v="1.59"/>
    <n v="40"/>
    <s v="10-4"/>
    <m/>
    <n v="4.41"/>
    <m/>
    <m/>
    <s v="High"/>
    <s v="Dude can run, good speed, good agility, overall lack of instincts though"/>
    <m/>
    <m/>
    <m/>
    <m/>
    <m/>
  </r>
  <r>
    <x v="8"/>
    <x v="5"/>
    <n v="180"/>
    <x v="204"/>
    <s v="Indiana"/>
    <s v="6-5"/>
    <n v="311"/>
    <s v="9¼"/>
    <s v="31¼"/>
    <m/>
    <m/>
    <m/>
    <m/>
    <m/>
    <m/>
    <m/>
    <s v="Yes"/>
    <s v="Low"/>
    <s v="Center for IU, good player, prob best OL, good mover on tape"/>
    <m/>
    <m/>
    <m/>
    <m/>
    <m/>
  </r>
  <r>
    <x v="9"/>
    <x v="5"/>
    <n v="180"/>
    <x v="205"/>
    <s v="Kentucky"/>
    <s v="6-2"/>
    <n v="308"/>
    <n v="10"/>
    <s v="31⅛"/>
    <n v="4.88"/>
    <n v="1.68"/>
    <n v="32"/>
    <d v="2026-08-01T00:00:00"/>
    <m/>
    <m/>
    <n v="37"/>
    <m/>
    <m/>
    <m/>
    <m/>
    <m/>
    <m/>
    <m/>
    <m/>
  </r>
  <r>
    <x v="1"/>
    <x v="5"/>
    <n v="180"/>
    <x v="206"/>
    <s v="Florida"/>
    <s v="6-2"/>
    <n v="273"/>
    <s v="9½"/>
    <n v="32"/>
    <m/>
    <m/>
    <m/>
    <m/>
    <m/>
    <m/>
    <n v="28"/>
    <s v="Yes"/>
    <s v="Medium"/>
    <s v="Good motor, physical player, feisty, not best get off, drops into coverage and is a baller, more DE than Edge"/>
    <m/>
    <m/>
    <m/>
    <m/>
    <m/>
  </r>
  <r>
    <x v="2"/>
    <x v="5"/>
    <n v="185"/>
    <x v="207"/>
    <s v="Boston College"/>
    <s v="6-5⅛"/>
    <n v="314"/>
    <s v="10¾"/>
    <s v="33¾"/>
    <n v="5.08"/>
    <n v="1.75"/>
    <n v="34.5"/>
    <s v="9-7"/>
    <m/>
    <m/>
    <n v="24"/>
    <m/>
    <s v="Medium"/>
    <s v="Good mover, weak power, not most coordinated"/>
    <m/>
    <m/>
    <m/>
    <m/>
    <m/>
  </r>
  <r>
    <x v="0"/>
    <x v="5"/>
    <n v="185"/>
    <x v="208"/>
    <s v="Oregon"/>
    <s v="5-8"/>
    <n v="205"/>
    <s v="8 ¼"/>
    <s v="29 ⅛"/>
    <m/>
    <m/>
    <m/>
    <m/>
    <m/>
    <m/>
    <n v="24"/>
    <s v="Yes"/>
    <s v="Medium"/>
    <s v="Decent RB, somewhat physical, older player 25 yo, good lateral agility, efficient runner"/>
    <n v="829"/>
    <n v="6"/>
    <m/>
    <m/>
    <m/>
  </r>
  <r>
    <x v="4"/>
    <x v="5"/>
    <n v="185"/>
    <x v="209"/>
    <s v="Iowa"/>
    <s v="6-2 ¼"/>
    <n v="208"/>
    <s v="8 ¼"/>
    <s v="30 ¾"/>
    <n v="4.4800000000000004"/>
    <n v="1.62"/>
    <n v="37.5"/>
    <m/>
    <n v="6.94"/>
    <n v="4.3899999999999997"/>
    <m/>
    <m/>
    <s v="High"/>
    <m/>
    <m/>
    <m/>
    <m/>
    <m/>
    <m/>
  </r>
  <r>
    <x v="5"/>
    <x v="5"/>
    <n v="185"/>
    <x v="210"/>
    <s v="USC"/>
    <s v="6-7"/>
    <n v="221"/>
    <s v="10½"/>
    <n v="35"/>
    <n v="4.59"/>
    <m/>
    <n v="35.5"/>
    <d v="2026-10-04T00:00:00"/>
    <n v="6.76"/>
    <n v="4.41"/>
    <n v="13"/>
    <m/>
    <s v="Medium"/>
    <m/>
    <m/>
    <m/>
    <m/>
    <m/>
    <m/>
  </r>
  <r>
    <x v="0"/>
    <x v="5"/>
    <n v="186"/>
    <x v="211"/>
    <s v="Indiana"/>
    <s v="6-01"/>
    <n v="207"/>
    <s v="9 ½"/>
    <n v="31"/>
    <m/>
    <m/>
    <m/>
    <m/>
    <m/>
    <m/>
    <m/>
    <s v="Yes"/>
    <s v="Low"/>
    <s v="Scrappy RB, decent short area quickness, gets all yards that are available, deceptive mover, typewriter feet"/>
    <n v="1120"/>
    <n v="7"/>
    <m/>
    <m/>
    <m/>
  </r>
  <r>
    <x v="0"/>
    <x v="5"/>
    <n v="188"/>
    <x v="212"/>
    <s v="Alabama"/>
    <s v="5-10 ¼"/>
    <n v="209"/>
    <s v="8 ¾"/>
    <s v="30 ⅜"/>
    <n v="4.42"/>
    <n v="1.53"/>
    <n v="30.5"/>
    <s v="9-7"/>
    <m/>
    <m/>
    <m/>
    <m/>
    <s v="Medium"/>
    <m/>
    <n v="504"/>
    <n v="3"/>
    <m/>
    <m/>
    <m/>
  </r>
  <r>
    <x v="2"/>
    <x v="5"/>
    <n v="189"/>
    <x v="213"/>
    <s v="Florida"/>
    <s v="6-6⅞"/>
    <n v="318"/>
    <s v="9⅝"/>
    <s v="33⅛"/>
    <n v="5.12"/>
    <n v="1.77"/>
    <n v="32"/>
    <s v="9-3"/>
    <m/>
    <m/>
    <m/>
    <s v="Yes"/>
    <s v="Medium"/>
    <s v="Left Tackle, good technique, good mover on his feet, not most powerful"/>
    <m/>
    <m/>
    <m/>
    <m/>
    <m/>
  </r>
  <r>
    <x v="0"/>
    <x v="5"/>
    <n v="189"/>
    <x v="214"/>
    <s v="Navy"/>
    <s v="6-01"/>
    <n v="198"/>
    <s v="9 ½"/>
    <s v="29 ¼"/>
    <n v="4.4400000000000004"/>
    <n v="1.55"/>
    <n v="35.5"/>
    <s v="10-1"/>
    <n v="6.55"/>
    <n v="4.22"/>
    <n v="16"/>
    <m/>
    <s v="High"/>
    <m/>
    <n v="499"/>
    <n v="3"/>
    <m/>
    <m/>
    <m/>
  </r>
  <r>
    <x v="7"/>
    <x v="5"/>
    <n v="190"/>
    <x v="215"/>
    <s v="Alabama"/>
    <s v="6-3 ⅜"/>
    <n v="245"/>
    <s v="9 ⅝"/>
    <s v="30 ⅝"/>
    <n v="4.6500000000000004"/>
    <n v="1.65"/>
    <n v="34"/>
    <s v="9-10"/>
    <m/>
    <m/>
    <m/>
    <s v="Maybe"/>
    <s v="Low"/>
    <s v="FB/TE Blocker"/>
    <n v="411"/>
    <n v="4"/>
    <m/>
    <m/>
    <m/>
  </r>
  <r>
    <x v="7"/>
    <x v="5"/>
    <n v="190"/>
    <x v="216"/>
    <s v="Cincinnati"/>
    <s v="6-5"/>
    <n v="247"/>
    <s v="10 ¾"/>
    <s v="31 ½"/>
    <m/>
    <m/>
    <m/>
    <m/>
    <m/>
    <m/>
    <m/>
    <m/>
    <s v="Low"/>
    <m/>
    <n v="416"/>
    <n v="4"/>
    <m/>
    <m/>
    <m/>
  </r>
  <r>
    <x v="7"/>
    <x v="5"/>
    <n v="190"/>
    <x v="217"/>
    <s v="Texas A&amp;M"/>
    <s v="6-5 ½"/>
    <n v="245"/>
    <s v="10 ½"/>
    <s v="32 ⅝"/>
    <m/>
    <m/>
    <m/>
    <m/>
    <m/>
    <m/>
    <m/>
    <m/>
    <m/>
    <m/>
    <n v="198"/>
    <n v="3"/>
    <m/>
    <m/>
    <m/>
  </r>
  <r>
    <x v="4"/>
    <x v="5"/>
    <n v="190"/>
    <x v="218"/>
    <s v="Oklahoma"/>
    <s v="6-2"/>
    <n v="205"/>
    <s v="10 ⅜"/>
    <s v="32 ½"/>
    <n v="4.32"/>
    <n v="1.51"/>
    <n v="35"/>
    <s v="10-5"/>
    <n v="7.14"/>
    <n v="4.38"/>
    <n v="14"/>
    <s v="Maybe"/>
    <s v="High"/>
    <s v="Not impressed by his football IQ, good measurables and size though"/>
    <m/>
    <m/>
    <m/>
    <m/>
    <m/>
  </r>
  <r>
    <x v="7"/>
    <x v="5"/>
    <n v="190"/>
    <x v="219"/>
    <s v="Utah"/>
    <s v="6-4 ⅛"/>
    <n v="253"/>
    <s v="9 ¼"/>
    <s v="33 ⅛"/>
    <n v="4.62"/>
    <n v="1.62"/>
    <n v="35"/>
    <s v="9-10"/>
    <n v="7"/>
    <n v="4.18"/>
    <m/>
    <m/>
    <m/>
    <m/>
    <n v="620"/>
    <n v="6"/>
    <m/>
    <m/>
    <m/>
  </r>
  <r>
    <x v="2"/>
    <x v="5"/>
    <n v="190"/>
    <x v="220"/>
    <s v="Miami"/>
    <s v="6-9¼"/>
    <n v="346"/>
    <n v="9"/>
    <s v="36⅜"/>
    <n v="5.36"/>
    <n v="1.84"/>
    <m/>
    <m/>
    <m/>
    <m/>
    <m/>
    <s v="No"/>
    <s v="Low"/>
    <s v="Huge lumbering OT, could be good in gap scheme"/>
    <m/>
    <m/>
    <m/>
    <m/>
    <m/>
  </r>
  <r>
    <x v="5"/>
    <x v="5"/>
    <n v="190"/>
    <x v="221"/>
    <s v="Alabama"/>
    <s v="6-01"/>
    <n v="223"/>
    <n v="10"/>
    <s v="31⅝"/>
    <n v="4.57"/>
    <n v="1.6"/>
    <n v="38.5"/>
    <s v="10-5"/>
    <m/>
    <m/>
    <m/>
    <m/>
    <s v="Medium"/>
    <s v="Decent athlete, didn't stand out on tape"/>
    <m/>
    <m/>
    <m/>
    <m/>
    <m/>
  </r>
  <r>
    <x v="5"/>
    <x v="5"/>
    <n v="190"/>
    <x v="222"/>
    <s v="Indiana"/>
    <s v="6-1"/>
    <n v="232"/>
    <s v="9½"/>
    <s v="31⅛"/>
    <m/>
    <m/>
    <m/>
    <m/>
    <m/>
    <m/>
    <m/>
    <m/>
    <m/>
    <s v="Physical but didn't see too many plays on tape (Butkus Award finalist)"/>
    <m/>
    <m/>
    <m/>
    <m/>
    <m/>
  </r>
  <r>
    <x v="0"/>
    <x v="5"/>
    <n v="190"/>
    <x v="223"/>
    <s v="UTSA"/>
    <s v="5-9 ¼"/>
    <n v="196"/>
    <s v="9 ⅛"/>
    <s v="30 ⅛"/>
    <n v="4.5199999999999996"/>
    <n v="1.62"/>
    <n v="37"/>
    <s v="10-4"/>
    <n v="7.11"/>
    <n v="4.0999999999999996"/>
    <n v="17"/>
    <m/>
    <s v="High"/>
    <m/>
    <n v="1045"/>
    <n v="9"/>
    <m/>
    <m/>
    <m/>
  </r>
  <r>
    <x v="0"/>
    <x v="5"/>
    <n v="190"/>
    <x v="224"/>
    <s v="Virginia"/>
    <s v="5-10"/>
    <n v="199"/>
    <n v="9"/>
    <n v="30"/>
    <n v="4.63"/>
    <m/>
    <n v="34.5"/>
    <s v="9-7"/>
    <m/>
    <m/>
    <n v="20"/>
    <m/>
    <m/>
    <s v="Good contact balance, vision and patience, tough, pass protection is solid, can cass passes, complete shorter power-RB"/>
    <n v="1062"/>
    <n v="14"/>
    <m/>
    <m/>
    <m/>
  </r>
  <r>
    <x v="4"/>
    <x v="5"/>
    <n v="191"/>
    <x v="225"/>
    <s v="Nebraska"/>
    <s v="6-3"/>
    <n v="205"/>
    <n v="10"/>
    <s v="32 ⅞"/>
    <m/>
    <m/>
    <n v="39.5"/>
    <s v="10-10"/>
    <m/>
    <m/>
    <m/>
    <m/>
    <m/>
    <m/>
    <m/>
    <m/>
    <m/>
    <m/>
    <m/>
  </r>
  <r>
    <x v="4"/>
    <x v="5"/>
    <n v="191"/>
    <x v="226"/>
    <s v="Arizona"/>
    <s v="5-11"/>
    <n v="192"/>
    <s v="9 ⅛"/>
    <s v="30 ⅞"/>
    <n v="4.41"/>
    <n v="1.59"/>
    <n v="36"/>
    <s v="9-11"/>
    <m/>
    <m/>
    <m/>
    <m/>
    <m/>
    <m/>
    <m/>
    <m/>
    <m/>
    <m/>
    <m/>
  </r>
  <r>
    <x v="9"/>
    <x v="5"/>
    <m/>
    <x v="227"/>
    <s v="Baylor"/>
    <s v="6-2 ½"/>
    <n v="293"/>
    <s v="9½"/>
    <n v="32"/>
    <n v="4.88"/>
    <n v="1.69"/>
    <m/>
    <m/>
    <m/>
    <n v="4.68"/>
    <m/>
    <m/>
    <m/>
    <m/>
    <m/>
    <m/>
    <m/>
    <m/>
    <m/>
  </r>
  <r>
    <x v="9"/>
    <x v="5"/>
    <m/>
    <x v="228"/>
    <s v="Southeastern Louisiana"/>
    <s v="6-2"/>
    <n v="291"/>
    <s v="9½"/>
    <n v="33"/>
    <n v="4.79"/>
    <n v="1.69"/>
    <n v="33"/>
    <s v="9-5"/>
    <m/>
    <n v="4.71"/>
    <m/>
    <m/>
    <m/>
    <m/>
    <m/>
    <m/>
    <m/>
    <m/>
    <m/>
  </r>
  <r>
    <x v="9"/>
    <x v="5"/>
    <m/>
    <x v="229"/>
    <s v="Arkansas"/>
    <s v="6-4"/>
    <n v="310"/>
    <s v="9½"/>
    <n v="33"/>
    <n v="5.13"/>
    <n v="1.79"/>
    <n v="32"/>
    <s v="9-1"/>
    <n v="8.02"/>
    <n v="4.76"/>
    <m/>
    <m/>
    <m/>
    <m/>
    <m/>
    <m/>
    <m/>
    <m/>
    <m/>
  </r>
  <r>
    <x v="3"/>
    <x v="5"/>
    <m/>
    <x v="230"/>
    <s v="Houston"/>
    <s v="6-2"/>
    <n v="182"/>
    <s v="9 ⅝"/>
    <s v="29 ⅜"/>
    <m/>
    <m/>
    <n v="43.5"/>
    <m/>
    <m/>
    <m/>
    <m/>
    <m/>
    <m/>
    <m/>
    <m/>
    <m/>
    <m/>
    <m/>
    <m/>
  </r>
  <r>
    <x v="3"/>
    <x v="5"/>
    <m/>
    <x v="231"/>
    <s v="Florida"/>
    <s v="6-3 ¼"/>
    <n v="182"/>
    <s v="9 ⅞"/>
    <s v="32 ⅜"/>
    <n v="4.42"/>
    <n v="1.51"/>
    <n v="39"/>
    <d v="2026-10-01T00:00:00"/>
    <m/>
    <m/>
    <m/>
    <s v="No"/>
    <m/>
    <s v="Not an aggressive tackler, potential liability in run game"/>
    <m/>
    <m/>
    <m/>
    <m/>
    <m/>
  </r>
  <r>
    <x v="3"/>
    <x v="5"/>
    <m/>
    <x v="232"/>
    <s v="Toledo"/>
    <s v="5-10 ½"/>
    <n v="186"/>
    <s v="8 ⅝"/>
    <n v="31"/>
    <m/>
    <m/>
    <n v="34"/>
    <s v="10-3"/>
    <m/>
    <m/>
    <n v="17"/>
    <m/>
    <m/>
    <m/>
    <m/>
    <m/>
    <m/>
    <m/>
    <m/>
  </r>
  <r>
    <x v="3"/>
    <x v="5"/>
    <m/>
    <x v="233"/>
    <s v="North Carolina"/>
    <s v="6-1"/>
    <n v="193"/>
    <s v="9 ⅝"/>
    <s v="31 ⅜"/>
    <n v="4.4400000000000004"/>
    <m/>
    <m/>
    <m/>
    <m/>
    <m/>
    <m/>
    <m/>
    <m/>
    <m/>
    <m/>
    <m/>
    <m/>
    <m/>
    <m/>
  </r>
  <r>
    <x v="3"/>
    <x v="5"/>
    <m/>
    <x v="234"/>
    <s v="Missouri"/>
    <s v="5-10"/>
    <n v="181"/>
    <s v="9 ¼"/>
    <n v="30"/>
    <m/>
    <m/>
    <m/>
    <m/>
    <m/>
    <m/>
    <m/>
    <m/>
    <m/>
    <m/>
    <m/>
    <m/>
    <m/>
    <m/>
    <m/>
  </r>
  <r>
    <x v="3"/>
    <x v="5"/>
    <m/>
    <x v="235"/>
    <s v="North Carolina"/>
    <s v="6-2"/>
    <n v="187"/>
    <s v="8 ⅞"/>
    <n v="30"/>
    <m/>
    <m/>
    <m/>
    <m/>
    <m/>
    <m/>
    <m/>
    <m/>
    <m/>
    <m/>
    <m/>
    <m/>
    <m/>
    <n v="2"/>
    <n v="11"/>
  </r>
  <r>
    <x v="3"/>
    <x v="5"/>
    <m/>
    <x v="236"/>
    <s v="Toledo"/>
    <s v="6-1"/>
    <n v="190"/>
    <s v="9 ¼"/>
    <s v="30 ⅛"/>
    <m/>
    <m/>
    <m/>
    <m/>
    <m/>
    <m/>
    <m/>
    <s v="Yes"/>
    <m/>
    <s v="Seahawks visit"/>
    <m/>
    <m/>
    <m/>
    <m/>
    <m/>
  </r>
  <r>
    <x v="1"/>
    <x v="5"/>
    <m/>
    <x v="237"/>
    <s v="LSU"/>
    <s v="6-4"/>
    <n v="258"/>
    <n v="10"/>
    <s v="30⅞"/>
    <m/>
    <m/>
    <m/>
    <m/>
    <m/>
    <m/>
    <m/>
    <s v="Yes"/>
    <s v="Low"/>
    <s v="Does a lot in defense, rushes decently, good power and size, won't take over games"/>
    <m/>
    <m/>
    <m/>
    <m/>
    <m/>
  </r>
  <r>
    <x v="1"/>
    <x v="5"/>
    <m/>
    <x v="238"/>
    <s v="Utah"/>
    <s v="6-5"/>
    <n v="257"/>
    <s v="9⅜"/>
    <s v="31⅜"/>
    <n v="4.59"/>
    <m/>
    <n v="32"/>
    <d v="2026-09-10T00:00:00"/>
    <m/>
    <m/>
    <m/>
    <m/>
    <m/>
    <s v="Good long arm, high motor, upper body strength, stiff frame, injury history"/>
    <m/>
    <m/>
    <m/>
    <m/>
    <m/>
  </r>
  <r>
    <x v="1"/>
    <x v="5"/>
    <m/>
    <x v="239"/>
    <s v="LSU"/>
    <s v="6-5"/>
    <n v="260"/>
    <n v="10"/>
    <s v="33⅜"/>
    <m/>
    <m/>
    <m/>
    <m/>
    <m/>
    <m/>
    <m/>
    <s v="Maybe"/>
    <s v="Medium"/>
    <s v="Physical, has decent power, decent speed, nothing special of either though, high upside low floor w/athleticism"/>
    <m/>
    <m/>
    <m/>
    <m/>
    <m/>
  </r>
  <r>
    <x v="9"/>
    <x v="5"/>
    <m/>
    <x v="240"/>
    <s v="South Carolina"/>
    <s v="6-3"/>
    <n v="312"/>
    <n v="10"/>
    <s v="33⅜"/>
    <n v="5.0999999999999996"/>
    <n v="1.7"/>
    <n v="31.5"/>
    <s v="9-1"/>
    <n v="8.17"/>
    <n v="4.91"/>
    <m/>
    <m/>
    <m/>
    <m/>
    <m/>
    <m/>
    <m/>
    <m/>
    <m/>
  </r>
  <r>
    <x v="1"/>
    <x v="5"/>
    <m/>
    <x v="241"/>
    <s v="Florida"/>
    <s v="6-4"/>
    <n v="245"/>
    <n v="9"/>
    <s v="33⅝"/>
    <n v="4.66"/>
    <n v="1.67"/>
    <n v="41"/>
    <s v="10-1"/>
    <n v="7"/>
    <m/>
    <m/>
    <m/>
    <s v="Medium"/>
    <m/>
    <m/>
    <m/>
    <m/>
    <m/>
    <m/>
  </r>
  <r>
    <x v="7"/>
    <x v="6"/>
    <m/>
    <x v="242"/>
    <s v="Penn State"/>
    <s v="6-4 ¼"/>
    <n v="251"/>
    <s v="9 ½"/>
    <s v="33 ¼"/>
    <n v="4.72"/>
    <n v="1.7"/>
    <n v="32.5"/>
    <s v="9-11"/>
    <m/>
    <m/>
    <m/>
    <m/>
    <m/>
    <m/>
    <n v="167"/>
    <n v="2"/>
    <m/>
    <m/>
    <m/>
  </r>
  <r>
    <x v="7"/>
    <x v="6"/>
    <m/>
    <x v="243"/>
    <s v="Ohio State"/>
    <s v="6-5 ½"/>
    <n v="261"/>
    <s v="9 ⅝"/>
    <s v="32 ¼"/>
    <n v="4.74"/>
    <n v="1.7"/>
    <n v="36"/>
    <s v="9-11"/>
    <m/>
    <m/>
    <m/>
    <s v="No"/>
    <m/>
    <s v="Seemed more in receiving game"/>
    <n v="185"/>
    <n v="2"/>
    <m/>
    <m/>
    <m/>
  </r>
  <r>
    <x v="10"/>
    <x v="6"/>
    <m/>
    <x v="244"/>
    <s v="Illinois"/>
    <s v="6-1 ¾"/>
    <n v="210"/>
    <n v="9"/>
    <s v="29 ⅞"/>
    <n v="4.72"/>
    <n v="1.66"/>
    <n v="32"/>
    <s v="9-6"/>
    <m/>
    <m/>
    <m/>
    <m/>
    <m/>
    <m/>
    <n v="3007"/>
    <n v="22"/>
    <m/>
    <m/>
    <m/>
  </r>
  <r>
    <x v="10"/>
    <x v="6"/>
    <m/>
    <x v="245"/>
    <s v="Arkansas"/>
    <s v="6-5 ⅞"/>
    <n v="227"/>
    <s v="9 ⅞"/>
    <s v="34 ¾"/>
    <n v="4.3600000000000003"/>
    <n v="1.55"/>
    <n v="43.5"/>
    <s v="11-2"/>
    <m/>
    <m/>
    <m/>
    <m/>
    <m/>
    <m/>
    <n v="2714"/>
    <n v="19"/>
    <m/>
    <m/>
    <m/>
  </r>
  <r>
    <x v="10"/>
    <x v="6"/>
    <m/>
    <x v="246"/>
    <s v="Baylor"/>
    <s v="6-3¾"/>
    <n v="216"/>
    <s v="9 ⅜"/>
    <s v="32 ⅛"/>
    <n v="4.6500000000000004"/>
    <n v="1.59"/>
    <n v="37.5"/>
    <s v="10-3"/>
    <n v="7.45"/>
    <n v="4.46"/>
    <m/>
    <m/>
    <m/>
    <m/>
    <n v="3681"/>
    <n v="31"/>
    <m/>
    <m/>
    <m/>
  </r>
  <r>
    <x v="10"/>
    <x v="6"/>
    <m/>
    <x v="247"/>
    <s v="Georgia Tech"/>
    <s v="6-2 ⅜"/>
    <n v="212"/>
    <n v="9"/>
    <s v="31 ⅞"/>
    <n v="4.46"/>
    <n v="1.56"/>
    <n v="33.5"/>
    <s v="9-8"/>
    <n v="6.89"/>
    <n v="4.17"/>
    <m/>
    <m/>
    <m/>
    <m/>
    <n v="2967"/>
    <n v="14"/>
    <m/>
    <m/>
    <m/>
  </r>
  <r>
    <x v="7"/>
    <x v="6"/>
    <m/>
    <x v="248"/>
    <s v="Houston"/>
    <s v="6-6 ½"/>
    <n v="247"/>
    <s v="9 ⅝"/>
    <s v="33 ¾"/>
    <n v="4.7"/>
    <n v="1.62"/>
    <n v="36.5"/>
    <s v="10-2"/>
    <m/>
    <m/>
    <m/>
    <m/>
    <m/>
    <m/>
    <n v="727"/>
    <n v="6"/>
    <m/>
    <m/>
    <m/>
  </r>
  <r>
    <x v="7"/>
    <x v="6"/>
    <m/>
    <x v="249"/>
    <s v="Indiana"/>
    <s v="6-2 ¼"/>
    <n v="250"/>
    <s v="8 ¾"/>
    <s v="31 ½"/>
    <n v="4.66"/>
    <n v="1.7"/>
    <n v="33.5"/>
    <s v="9-11"/>
    <m/>
    <m/>
    <m/>
    <m/>
    <m/>
    <s v="Scrappy TE, not very athletic but willing blocker"/>
    <n v="387"/>
    <n v="2"/>
    <m/>
    <m/>
    <m/>
  </r>
  <r>
    <x v="10"/>
    <x v="6"/>
    <m/>
    <x v="250"/>
    <s v="Kansas"/>
    <s v="6-0 ⅝"/>
    <n v="219"/>
    <s v="9 ⅝"/>
    <s v="30 ⅜"/>
    <n v="4.6500000000000004"/>
    <n v="1.63"/>
    <m/>
    <m/>
    <m/>
    <m/>
    <m/>
    <m/>
    <m/>
    <m/>
    <n v="2531"/>
    <n v="22"/>
    <m/>
    <m/>
    <m/>
  </r>
  <r>
    <x v="2"/>
    <x v="6"/>
    <m/>
    <x v="251"/>
    <s v="Penn State"/>
    <s v="6-5"/>
    <n v="313"/>
    <s v="9⅝"/>
    <s v="33⅜"/>
    <n v="5.16"/>
    <n v="1.79"/>
    <n v="31"/>
    <s v="9-4"/>
    <m/>
    <m/>
    <m/>
    <m/>
    <s v="Medium"/>
    <m/>
    <m/>
    <m/>
    <m/>
    <m/>
    <m/>
  </r>
  <r>
    <x v="7"/>
    <x v="6"/>
    <m/>
    <x v="252"/>
    <s v="LSU"/>
    <s v="6-4 ⅝"/>
    <n v="249"/>
    <s v="9 ⅝"/>
    <s v="31 ¾"/>
    <n v="4.63"/>
    <n v="1.68"/>
    <m/>
    <s v="10-1"/>
    <m/>
    <m/>
    <m/>
    <m/>
    <m/>
    <m/>
    <n v="252"/>
    <n v="2"/>
    <m/>
    <m/>
    <m/>
  </r>
  <r>
    <x v="7"/>
    <x v="6"/>
    <m/>
    <x v="253"/>
    <s v="NC State"/>
    <s v="6-3 ½"/>
    <n v="241"/>
    <s v="10 ½"/>
    <s v="32 ¼"/>
    <m/>
    <m/>
    <m/>
    <m/>
    <m/>
    <m/>
    <m/>
    <m/>
    <m/>
    <m/>
    <n v="468"/>
    <n v="7"/>
    <m/>
    <m/>
    <m/>
  </r>
  <r>
    <x v="6"/>
    <x v="6"/>
    <m/>
    <x v="254"/>
    <s v="LSU"/>
    <m/>
    <n v="188"/>
    <s v="9 ¼"/>
    <n v="32"/>
    <n v="4.41"/>
    <n v="1.57"/>
    <n v="34.5"/>
    <s v="10-2"/>
    <n v="7.25"/>
    <n v="4.41"/>
    <m/>
    <m/>
    <m/>
    <m/>
    <n v="122"/>
    <n v="0"/>
    <m/>
    <m/>
    <m/>
  </r>
  <r>
    <x v="7"/>
    <x v="6"/>
    <m/>
    <x v="255"/>
    <s v="Notre Dame"/>
    <s v="6-6 ⅛"/>
    <n v="245"/>
    <s v="10 ¾"/>
    <s v="32 ¾"/>
    <n v="4.62"/>
    <n v="1.6"/>
    <n v="36"/>
    <s v="10-3"/>
    <m/>
    <m/>
    <m/>
    <m/>
    <m/>
    <m/>
    <n v="482"/>
    <n v="0"/>
    <m/>
    <m/>
    <m/>
  </r>
  <r>
    <x v="6"/>
    <x v="6"/>
    <m/>
    <x v="256"/>
    <s v="BYU"/>
    <m/>
    <n v="209"/>
    <s v="9 ⅝"/>
    <s v="31 ½"/>
    <n v="4.6399999999999997"/>
    <n v="1.6"/>
    <n v="37"/>
    <s v="10-6"/>
    <m/>
    <m/>
    <m/>
    <m/>
    <m/>
    <m/>
    <n v="802"/>
    <n v="6"/>
    <m/>
    <m/>
    <m/>
  </r>
  <r>
    <x v="6"/>
    <x v="6"/>
    <m/>
    <x v="257"/>
    <s v="Florida"/>
    <m/>
    <n v="207"/>
    <s v="9 ½"/>
    <s v="32 ⅞"/>
    <n v="4.4000000000000004"/>
    <n v="1.54"/>
    <n v="39"/>
    <s v="10-11"/>
    <m/>
    <m/>
    <m/>
    <m/>
    <m/>
    <m/>
    <n v="406"/>
    <n v="3"/>
    <m/>
    <m/>
    <m/>
  </r>
  <r>
    <x v="6"/>
    <x v="6"/>
    <m/>
    <x v="258"/>
    <s v="Incarnate Word"/>
    <m/>
    <n v="191"/>
    <n v="9"/>
    <s v="31 ¼"/>
    <n v="4.57"/>
    <m/>
    <n v="35"/>
    <s v="10-11"/>
    <m/>
    <m/>
    <m/>
    <m/>
    <m/>
    <m/>
    <n v="847"/>
    <n v="8"/>
    <m/>
    <m/>
    <m/>
  </r>
  <r>
    <x v="7"/>
    <x v="6"/>
    <m/>
    <x v="259"/>
    <s v="Ole Miss"/>
    <s v="6-4"/>
    <n v="246"/>
    <s v="9 ¼"/>
    <s v="32 ¼"/>
    <m/>
    <m/>
    <m/>
    <m/>
    <m/>
    <m/>
    <m/>
    <m/>
    <m/>
    <m/>
    <n v="571"/>
    <n v="4"/>
    <m/>
    <m/>
    <m/>
  </r>
  <r>
    <x v="6"/>
    <x v="6"/>
    <m/>
    <x v="260"/>
    <s v="Kansas"/>
    <m/>
    <n v="185"/>
    <s v="8 ⅜"/>
    <n v="31"/>
    <n v="4.4400000000000004"/>
    <n v="1.56"/>
    <n v="35"/>
    <s v="10-1"/>
    <m/>
    <m/>
    <m/>
    <m/>
    <m/>
    <m/>
    <n v="766"/>
    <n v="5"/>
    <m/>
    <m/>
    <m/>
  </r>
  <r>
    <x v="2"/>
    <x v="6"/>
    <m/>
    <x v="261"/>
    <s v="Washington"/>
    <s v="6-5"/>
    <n v="303"/>
    <s v="9½"/>
    <s v="32½"/>
    <n v="5.1100000000000003"/>
    <n v="1.84"/>
    <n v="26.5"/>
    <s v="9-1"/>
    <m/>
    <m/>
    <m/>
    <m/>
    <m/>
    <m/>
    <m/>
    <m/>
    <m/>
    <m/>
    <m/>
  </r>
  <r>
    <x v="7"/>
    <x v="6"/>
    <m/>
    <x v="262"/>
    <s v="SMU"/>
    <s v="6-4 ¼"/>
    <n v="251"/>
    <s v="9 ⅜"/>
    <s v="32 ⅜"/>
    <n v="4.57"/>
    <n v="1.61"/>
    <n v="37"/>
    <s v="9-8"/>
    <m/>
    <m/>
    <m/>
    <m/>
    <m/>
    <m/>
    <n v="436"/>
    <n v="4"/>
    <m/>
    <m/>
    <m/>
  </r>
  <r>
    <x v="7"/>
    <x v="6"/>
    <m/>
    <x v="263"/>
    <s v="SMU"/>
    <s v="6-4 ⅛"/>
    <n v="236"/>
    <n v="9"/>
    <s v="32 ¼"/>
    <n v="4.51"/>
    <n v="1.64"/>
    <n v="33"/>
    <s v="10-2"/>
    <m/>
    <m/>
    <m/>
    <m/>
    <m/>
    <m/>
    <n v="322"/>
    <m/>
    <m/>
    <m/>
    <m/>
  </r>
  <r>
    <x v="6"/>
    <x v="6"/>
    <m/>
    <x v="264"/>
    <s v="Kentucky"/>
    <m/>
    <n v="203"/>
    <s v="9 ⅝"/>
    <s v="31 ⅛"/>
    <n v="4.45"/>
    <n v="1.56"/>
    <n v="42"/>
    <s v="10-8"/>
    <m/>
    <m/>
    <m/>
    <m/>
    <m/>
    <m/>
    <n v="103"/>
    <n v="1"/>
    <m/>
    <m/>
    <m/>
  </r>
  <r>
    <x v="4"/>
    <x v="6"/>
    <m/>
    <x v="265"/>
    <s v="Ohio State"/>
    <s v="6-0 ½"/>
    <n v="194"/>
    <s v="9 ½"/>
    <s v="31 ⅝"/>
    <n v="4.2699999999999996"/>
    <n v="1.49"/>
    <n v="39"/>
    <m/>
    <m/>
    <m/>
    <m/>
    <s v="No"/>
    <m/>
    <s v="Who?"/>
    <m/>
    <m/>
    <m/>
    <m/>
    <m/>
  </r>
  <r>
    <x v="6"/>
    <x v="6"/>
    <m/>
    <x v="266"/>
    <s v="Louisville"/>
    <m/>
    <n v="183"/>
    <s v="9 ⅞"/>
    <s v="29 ⅜"/>
    <n v="4.55"/>
    <n v="1.59"/>
    <n v="33.5"/>
    <s v="9-8"/>
    <m/>
    <m/>
    <m/>
    <s v="No"/>
    <m/>
    <s v="Another small player, UDFA, returner"/>
    <n v="635"/>
    <n v="2"/>
    <m/>
    <m/>
    <m/>
  </r>
  <r>
    <x v="7"/>
    <x v="6"/>
    <m/>
    <x v="267"/>
    <s v="TCU"/>
    <s v="6-4"/>
    <n v="258"/>
    <s v="9 ½"/>
    <s v="33 ⅝"/>
    <m/>
    <m/>
    <m/>
    <m/>
    <m/>
    <m/>
    <m/>
    <m/>
    <m/>
    <m/>
    <n v="300"/>
    <n v="2"/>
    <m/>
    <m/>
    <m/>
  </r>
  <r>
    <x v="6"/>
    <x v="6"/>
    <m/>
    <x v="268"/>
    <s v="LSU"/>
    <m/>
    <n v="190"/>
    <n v="9"/>
    <s v="30 ½"/>
    <n v="4.28"/>
    <n v="1.52"/>
    <n v="36"/>
    <m/>
    <m/>
    <m/>
    <m/>
    <m/>
    <m/>
    <m/>
    <n v="488"/>
    <n v="4"/>
    <m/>
    <m/>
    <m/>
  </r>
  <r>
    <x v="9"/>
    <x v="6"/>
    <m/>
    <x v="269"/>
    <s v="Tennessee"/>
    <s v="6-2"/>
    <n v="323"/>
    <n v="10"/>
    <s v="33⅛"/>
    <n v="5.09"/>
    <n v="1.78"/>
    <n v="30.5"/>
    <s v="9-4"/>
    <m/>
    <n v="5"/>
    <m/>
    <s v="No"/>
    <s v="Medium"/>
    <s v="Decent bull rush, not that powerful for a guy this size, inconsistent, meh player"/>
    <m/>
    <m/>
    <m/>
    <m/>
    <m/>
  </r>
  <r>
    <x v="7"/>
    <x v="6"/>
    <m/>
    <x v="270"/>
    <s v="Tennessee"/>
    <s v="6-5 ⅛"/>
    <n v="251"/>
    <s v="9 ⅞"/>
    <s v="31 ⅞"/>
    <n v="4.9000000000000004"/>
    <n v="1.71"/>
    <n v="34.5"/>
    <s v="9-8"/>
    <m/>
    <m/>
    <m/>
    <s v="No"/>
    <m/>
    <s v="Lumbering TE, reliable hands and can run routes but not a NFL TE"/>
    <n v="253"/>
    <n v="2"/>
    <m/>
    <m/>
    <m/>
  </r>
  <r>
    <x v="4"/>
    <x v="6"/>
    <m/>
    <x v="271"/>
    <s v="SMU"/>
    <s v="5-9"/>
    <n v="196"/>
    <s v="9 ⅛"/>
    <s v="30 ¼"/>
    <m/>
    <m/>
    <n v="38"/>
    <m/>
    <m/>
    <m/>
    <m/>
    <m/>
    <m/>
    <m/>
    <m/>
    <m/>
    <m/>
    <m/>
    <m/>
  </r>
  <r>
    <x v="6"/>
    <x v="6"/>
    <m/>
    <x v="272"/>
    <s v="LSU"/>
    <m/>
    <n v="191"/>
    <s v="9 ¼"/>
    <s v="29 ¾"/>
    <m/>
    <m/>
    <n v="30"/>
    <s v="9-5"/>
    <m/>
    <m/>
    <m/>
    <m/>
    <m/>
    <s v="Light player with good short area quickness, decent hands, ST player, depth WR"/>
    <n v="398"/>
    <n v="0"/>
    <m/>
    <m/>
    <m/>
  </r>
  <r>
    <x v="2"/>
    <x v="6"/>
    <m/>
    <x v="273"/>
    <s v="Memphis"/>
    <s v="6-8¾"/>
    <n v="325"/>
    <s v="10⅛"/>
    <s v="34¼"/>
    <n v="5.17"/>
    <n v="1.79"/>
    <n v="27"/>
    <s v="8-11"/>
    <m/>
    <m/>
    <m/>
    <m/>
    <m/>
    <m/>
    <m/>
    <m/>
    <m/>
    <m/>
    <m/>
  </r>
  <r>
    <x v="5"/>
    <x v="6"/>
    <m/>
    <x v="274"/>
    <s v="Arkansas"/>
    <s v="6-2"/>
    <n v="228"/>
    <s v="9⅝"/>
    <s v="31⅝"/>
    <n v="4.63"/>
    <n v="1.66"/>
    <n v="37.5"/>
    <d v="2026-10-01T00:00:00"/>
    <n v="7"/>
    <n v="4.42"/>
    <m/>
    <m/>
    <s v="Medium"/>
    <m/>
    <m/>
    <m/>
    <m/>
    <m/>
    <m/>
  </r>
  <r>
    <x v="8"/>
    <x v="6"/>
    <m/>
    <x v="275"/>
    <s v="Kentucky"/>
    <s v="6-6"/>
    <n v="325"/>
    <s v="10½"/>
    <s v="34⅝"/>
    <m/>
    <m/>
    <m/>
    <m/>
    <n v="7.62"/>
    <m/>
    <m/>
    <m/>
    <m/>
    <m/>
    <m/>
    <m/>
    <m/>
    <m/>
    <m/>
  </r>
  <r>
    <x v="9"/>
    <x v="6"/>
    <m/>
    <x v="276"/>
    <s v="Auburn"/>
    <s v="6-3"/>
    <n v="328"/>
    <s v="9⅝"/>
    <s v="34¼"/>
    <m/>
    <m/>
    <m/>
    <m/>
    <m/>
    <m/>
    <m/>
    <m/>
    <m/>
    <m/>
    <m/>
    <m/>
    <m/>
    <m/>
    <m/>
  </r>
  <r>
    <x v="5"/>
    <x v="6"/>
    <m/>
    <x v="277"/>
    <s v="Clemson"/>
    <s v="6-3"/>
    <n v="236"/>
    <n v="10"/>
    <s v="32⅝"/>
    <m/>
    <m/>
    <m/>
    <m/>
    <m/>
    <m/>
    <m/>
    <m/>
    <m/>
    <m/>
    <m/>
    <m/>
    <m/>
    <m/>
    <m/>
  </r>
  <r>
    <x v="5"/>
    <x v="6"/>
    <m/>
    <x v="278"/>
    <s v="Miami"/>
    <s v="6-2"/>
    <n v="225"/>
    <s v="9⅝"/>
    <s v="31⅞"/>
    <m/>
    <m/>
    <m/>
    <m/>
    <m/>
    <m/>
    <m/>
    <s v="No"/>
    <m/>
    <s v="Not much to see here"/>
    <m/>
    <m/>
    <m/>
    <m/>
    <m/>
  </r>
  <r>
    <x v="9"/>
    <x v="6"/>
    <m/>
    <x v="279"/>
    <s v="Minnesota"/>
    <s v="6-5"/>
    <n v="315"/>
    <n v="10"/>
    <n v="34"/>
    <m/>
    <m/>
    <n v="27.5"/>
    <s v="9-4"/>
    <n v="8.07"/>
    <m/>
    <m/>
    <m/>
    <m/>
    <m/>
    <m/>
    <m/>
    <m/>
    <m/>
    <m/>
  </r>
  <r>
    <x v="9"/>
    <x v="6"/>
    <m/>
    <x v="280"/>
    <s v="Texas A&amp;M"/>
    <s v="6-3 ½"/>
    <n v="292"/>
    <s v="10⅛"/>
    <s v="34⅛"/>
    <m/>
    <m/>
    <n v="32"/>
    <s v="9-3"/>
    <m/>
    <m/>
    <m/>
    <m/>
    <m/>
    <m/>
    <m/>
    <m/>
    <m/>
    <m/>
    <m/>
  </r>
  <r>
    <x v="10"/>
    <x v="6"/>
    <m/>
    <x v="281"/>
    <s v="Texas Tech"/>
    <s v="6-2"/>
    <n v="221"/>
    <s v="9 ½"/>
    <s v="30 ⅝"/>
    <m/>
    <m/>
    <m/>
    <m/>
    <m/>
    <m/>
    <m/>
    <m/>
    <m/>
    <m/>
    <n v="2780"/>
    <n v="22"/>
    <m/>
    <m/>
    <m/>
  </r>
  <r>
    <x v="6"/>
    <x v="6"/>
    <m/>
    <x v="282"/>
    <s v="Miami"/>
    <m/>
    <n v="202"/>
    <s v="9 ¼"/>
    <s v="31 ¾"/>
    <m/>
    <m/>
    <m/>
    <m/>
    <m/>
    <m/>
    <m/>
    <s v="No"/>
    <m/>
    <s v="Decent WR, can run routes, not a speedster, didn't dominate at FBS"/>
    <n v="557"/>
    <n v="7"/>
    <m/>
    <m/>
    <m/>
  </r>
  <r>
    <x v="6"/>
    <x v="6"/>
    <m/>
    <x v="283"/>
    <s v="Michigan"/>
    <s v="6-4 ½"/>
    <n v="203"/>
    <s v="10 ¼"/>
    <s v="32 ⅝"/>
    <m/>
    <m/>
    <m/>
    <m/>
    <m/>
    <m/>
    <m/>
    <s v="No"/>
    <m/>
    <s v="Long and lean, big hands, willing blocker, wasn't much of an impact player, not much separation"/>
    <n v="588"/>
    <n v="3"/>
    <m/>
    <m/>
    <m/>
  </r>
  <r>
    <x v="4"/>
    <x v="6"/>
    <m/>
    <x v="284"/>
    <s v="Texas"/>
    <s v="6-01"/>
    <n v="190"/>
    <s v="9 ⅜"/>
    <s v="29 ¼"/>
    <n v="4.5"/>
    <n v="1.58"/>
    <m/>
    <m/>
    <m/>
    <m/>
    <m/>
    <m/>
    <m/>
    <m/>
    <m/>
    <m/>
    <m/>
    <m/>
    <m/>
  </r>
  <r>
    <x v="3"/>
    <x v="6"/>
    <m/>
    <x v="285"/>
    <s v="Stanford"/>
    <s v="6-01"/>
    <n v="196"/>
    <s v="8 ⅜"/>
    <s v="29 ⅜"/>
    <n v="4.54"/>
    <n v="1.61"/>
    <n v="38.5"/>
    <s v="10-5"/>
    <n v="7.03"/>
    <n v="4.46"/>
    <m/>
    <m/>
    <m/>
    <m/>
    <m/>
    <m/>
    <m/>
    <m/>
    <m/>
  </r>
  <r>
    <x v="3"/>
    <x v="6"/>
    <m/>
    <x v="286"/>
    <s v="Texas"/>
    <s v="5-11"/>
    <n v="185"/>
    <s v="9 ¼"/>
    <n v="31"/>
    <n v="4.32"/>
    <n v="1.51"/>
    <n v="37.5"/>
    <s v="10-8"/>
    <n v="7.2"/>
    <m/>
    <n v="13"/>
    <m/>
    <m/>
    <m/>
    <m/>
    <m/>
    <m/>
    <m/>
    <m/>
  </r>
  <r>
    <x v="8"/>
    <x v="6"/>
    <m/>
    <x v="287"/>
    <s v="Miami"/>
    <s v="6-6"/>
    <n v="334"/>
    <n v="10"/>
    <n v="34"/>
    <m/>
    <m/>
    <m/>
    <m/>
    <m/>
    <m/>
    <m/>
    <s v="No"/>
    <s v="Medium"/>
    <s v="Power IOL does a job"/>
    <m/>
    <m/>
    <m/>
    <m/>
    <m/>
  </r>
  <r>
    <x v="9"/>
    <x v="6"/>
    <m/>
    <x v="288"/>
    <s v="UCLA"/>
    <s v="6-1"/>
    <n v="319"/>
    <s v="9⅝"/>
    <s v="32⅝"/>
    <m/>
    <m/>
    <n v="28"/>
    <m/>
    <m/>
    <m/>
    <m/>
    <m/>
    <m/>
    <m/>
    <m/>
    <m/>
    <m/>
    <m/>
    <m/>
  </r>
  <r>
    <x v="6"/>
    <x v="6"/>
    <m/>
    <x v="289"/>
    <s v="Missouri"/>
    <s v="5-10 ¼"/>
    <n v="179"/>
    <s v="9 ½"/>
    <n v="30"/>
    <n v="4.49"/>
    <n v="1.62"/>
    <n v="38.5"/>
    <s v="10-6"/>
    <m/>
    <m/>
    <m/>
    <m/>
    <m/>
    <m/>
    <n v="732"/>
    <m/>
    <m/>
    <m/>
    <m/>
  </r>
  <r>
    <x v="10"/>
    <x v="6"/>
    <m/>
    <x v="290"/>
    <s v="UConn"/>
    <s v="6-3 ¼"/>
    <n v="226"/>
    <s v="9 ¼"/>
    <s v="31 ⅜"/>
    <n v="4.83"/>
    <n v="1.67"/>
    <n v="35"/>
    <s v="9-10"/>
    <m/>
    <n v="4.3499999999999996"/>
    <m/>
    <m/>
    <m/>
    <m/>
    <n v="3448"/>
    <n v="28"/>
    <m/>
    <m/>
    <m/>
  </r>
  <r>
    <x v="6"/>
    <x v="6"/>
    <m/>
    <x v="291"/>
    <s v="Oregon"/>
    <m/>
    <n v="189"/>
    <s v="8 ⅝"/>
    <s v="31 ⅞"/>
    <n v="4.37"/>
    <n v="1.55"/>
    <n v="32.5"/>
    <s v="10-2"/>
    <m/>
    <m/>
    <m/>
    <m/>
    <m/>
    <m/>
    <n v="719"/>
    <n v="6"/>
    <m/>
    <m/>
    <m/>
  </r>
  <r>
    <x v="6"/>
    <x v="6"/>
    <m/>
    <x v="292"/>
    <s v="SMU"/>
    <m/>
    <n v="191"/>
    <s v="9 ¼"/>
    <s v="31 ⅛"/>
    <m/>
    <m/>
    <m/>
    <m/>
    <m/>
    <m/>
    <m/>
    <m/>
    <m/>
    <m/>
    <n v="766"/>
    <n v="6"/>
    <m/>
    <m/>
    <m/>
  </r>
  <r>
    <x v="1"/>
    <x v="6"/>
    <m/>
    <x v="293"/>
    <s v="UCF"/>
    <s v="6-5"/>
    <n v="256"/>
    <s v="10⅜"/>
    <s v="35⅛"/>
    <n v="4.88"/>
    <n v="1.69"/>
    <n v="37"/>
    <s v="9-11"/>
    <n v="7.62"/>
    <n v="4.76"/>
    <m/>
    <m/>
    <s v="Medium"/>
    <m/>
    <m/>
    <m/>
    <m/>
    <m/>
    <m/>
  </r>
  <r>
    <x v="4"/>
    <x v="6"/>
    <m/>
    <x v="294"/>
    <s v="Indiana"/>
    <s v="5-11"/>
    <n v="191"/>
    <s v="9 ⅞"/>
    <s v="29 ½"/>
    <m/>
    <m/>
    <m/>
    <m/>
    <m/>
    <m/>
    <m/>
    <m/>
    <m/>
    <s v="Physical safety (who isn't on IU) but didn't see a ton of plays"/>
    <m/>
    <m/>
    <m/>
    <m/>
    <m/>
  </r>
  <r>
    <x v="4"/>
    <x v="6"/>
    <m/>
    <x v="295"/>
    <s v="Maryland"/>
    <s v="6-1"/>
    <n v="196"/>
    <s v="10 ¼"/>
    <s v="30 ⅞"/>
    <m/>
    <m/>
    <m/>
    <m/>
    <m/>
    <m/>
    <m/>
    <m/>
    <m/>
    <m/>
    <m/>
    <m/>
    <m/>
    <m/>
    <m/>
  </r>
  <r>
    <x v="5"/>
    <x v="6"/>
    <m/>
    <x v="296"/>
    <s v="Texas A&amp;M"/>
    <s v="6-2"/>
    <n v="231"/>
    <s v="9¼"/>
    <n v="32"/>
    <m/>
    <m/>
    <m/>
    <m/>
    <m/>
    <m/>
    <m/>
    <m/>
    <m/>
    <m/>
    <m/>
    <m/>
    <m/>
    <m/>
    <m/>
  </r>
  <r>
    <x v="7"/>
    <x v="6"/>
    <m/>
    <x v="297"/>
    <s v="USC"/>
    <s v="6-4"/>
    <n v="243"/>
    <s v="9 ¼"/>
    <s v="31 ½"/>
    <m/>
    <m/>
    <m/>
    <m/>
    <m/>
    <m/>
    <m/>
    <m/>
    <m/>
    <m/>
    <n v="450"/>
    <n v="4"/>
    <m/>
    <m/>
    <m/>
  </r>
  <r>
    <x v="2"/>
    <x v="6"/>
    <m/>
    <x v="298"/>
    <s v="Memphis"/>
    <s v="6-5"/>
    <n v="311"/>
    <s v="10⅜"/>
    <s v="33⅝"/>
    <m/>
    <m/>
    <m/>
    <m/>
    <m/>
    <m/>
    <m/>
    <m/>
    <m/>
    <m/>
    <m/>
    <m/>
    <m/>
    <m/>
    <m/>
  </r>
  <r>
    <x v="1"/>
    <x v="6"/>
    <m/>
    <x v="299"/>
    <s v="Northwestern"/>
    <s v="6-4 ⅝"/>
    <n v="260"/>
    <s v="9⅛"/>
    <n v="32"/>
    <m/>
    <m/>
    <m/>
    <m/>
    <m/>
    <m/>
    <n v="21"/>
    <m/>
    <m/>
    <m/>
    <m/>
    <m/>
    <m/>
    <m/>
    <m/>
  </r>
  <r>
    <x v="5"/>
    <x v="6"/>
    <m/>
    <x v="300"/>
    <s v="Utah"/>
    <s v="6-5"/>
    <n v="233"/>
    <s v="9½"/>
    <s v="32¼"/>
    <m/>
    <m/>
    <m/>
    <m/>
    <m/>
    <m/>
    <m/>
    <m/>
    <m/>
    <m/>
    <m/>
    <m/>
    <m/>
    <m/>
    <m/>
  </r>
  <r>
    <x v="10"/>
    <x v="6"/>
    <m/>
    <x v="301"/>
    <s v="Vanderbilt"/>
    <s v="5-10"/>
    <n v="207"/>
    <s v="9 ⅝"/>
    <s v="28 ⅝"/>
    <m/>
    <m/>
    <m/>
    <m/>
    <m/>
    <m/>
    <m/>
    <m/>
    <m/>
    <m/>
    <n v="3192"/>
    <n v="27"/>
    <m/>
    <m/>
    <m/>
  </r>
  <r>
    <x v="0"/>
    <x v="6"/>
    <m/>
    <x v="302"/>
    <s v="Michigan"/>
    <s v="6-2"/>
    <n v="252"/>
    <n v="10"/>
    <s v="30 ⅛"/>
    <m/>
    <m/>
    <m/>
    <m/>
    <m/>
    <m/>
    <m/>
    <s v="Maybe"/>
    <m/>
    <s v="Fullback, good blocker, good size"/>
    <m/>
    <m/>
    <m/>
    <m/>
    <m/>
  </r>
  <r>
    <x v="2"/>
    <x v="6"/>
    <m/>
    <x v="303"/>
    <s v="Missouri"/>
    <s v="6-5"/>
    <n v="311"/>
    <s v="9¼"/>
    <s v="32⅜"/>
    <m/>
    <m/>
    <n v="31"/>
    <m/>
    <m/>
    <m/>
    <m/>
    <m/>
    <m/>
    <m/>
    <m/>
    <m/>
    <m/>
    <m/>
    <m/>
  </r>
  <r>
    <x v="6"/>
    <x v="6"/>
    <m/>
    <x v="304"/>
    <s v="Texas Tech"/>
    <s v="6-3 ½"/>
    <n v="206"/>
    <s v="10 ⅛"/>
    <s v="32 ½"/>
    <n v="4.3899999999999997"/>
    <n v="1.55"/>
    <n v="31.5"/>
    <s v="10-6"/>
    <m/>
    <m/>
    <m/>
    <s v="No"/>
    <m/>
    <s v="Wasn't very impressed"/>
    <n v="846"/>
    <n v="7"/>
    <m/>
    <m/>
    <m/>
  </r>
  <r>
    <x v="0"/>
    <x v="6"/>
    <m/>
    <x v="305"/>
    <s v="Pittsburgh"/>
    <s v="5-6"/>
    <n v="174"/>
    <s v="8 ¼"/>
    <s v="28 ⅛"/>
    <m/>
    <m/>
    <m/>
    <m/>
    <m/>
    <m/>
    <m/>
    <m/>
    <m/>
    <s v="Super small guy"/>
    <n v="278"/>
    <n v="2"/>
    <m/>
    <m/>
    <m/>
  </r>
  <r>
    <x v="3"/>
    <x v="6"/>
    <m/>
    <x v="306"/>
    <s v="Alabama"/>
    <s v="6-1"/>
    <n v="189"/>
    <s v="8 ⅝"/>
    <s v="30 ⅝"/>
    <m/>
    <m/>
    <n v="41"/>
    <s v="10-11"/>
    <m/>
    <m/>
    <m/>
    <s v="No"/>
    <m/>
    <s v="Good athlete, benched at one point for play responded nicely, not super impressed"/>
    <m/>
    <m/>
    <m/>
    <m/>
    <m/>
  </r>
  <r>
    <x v="3"/>
    <x v="6"/>
    <m/>
    <x v="307"/>
    <s v="Georgia Tech"/>
    <s v="5-11"/>
    <n v="187"/>
    <s v="9 ⅝"/>
    <n v="30"/>
    <m/>
    <m/>
    <m/>
    <m/>
    <m/>
    <m/>
    <n v="15"/>
    <m/>
    <m/>
    <m/>
    <m/>
    <m/>
    <m/>
    <n v="2"/>
    <n v="12"/>
  </r>
  <r>
    <x v="2"/>
    <x v="6"/>
    <m/>
    <x v="308"/>
    <s v="Wake Forest"/>
    <s v="6-5"/>
    <n v="311"/>
    <s v="10⅝"/>
    <s v="33⅞"/>
    <m/>
    <m/>
    <n v="28.5"/>
    <s v="8-8"/>
    <m/>
    <m/>
    <m/>
    <m/>
    <m/>
    <m/>
    <m/>
    <m/>
    <m/>
    <m/>
    <m/>
  </r>
  <r>
    <x v="1"/>
    <x v="6"/>
    <m/>
    <x v="309"/>
    <s v="Boston College"/>
    <s v="6-3"/>
    <n v="233"/>
    <s v="9½"/>
    <s v="32⅝"/>
    <n v="4.74"/>
    <n v="1.73"/>
    <n v="37"/>
    <m/>
    <m/>
    <m/>
    <m/>
    <m/>
    <m/>
    <m/>
    <m/>
    <m/>
    <m/>
    <m/>
    <m/>
  </r>
  <r>
    <x v="1"/>
    <x v="6"/>
    <m/>
    <x v="310"/>
    <s v="Duke"/>
    <s v="6-4"/>
    <n v="256"/>
    <s v="9½"/>
    <s v="31⅞"/>
    <n v="4.8899999999999997"/>
    <n v="1.68"/>
    <n v="35.5"/>
    <s v="10-1"/>
    <m/>
    <m/>
    <m/>
    <m/>
    <m/>
    <m/>
    <m/>
    <m/>
    <m/>
    <m/>
    <m/>
  </r>
  <r>
    <x v="6"/>
    <x v="6"/>
    <m/>
    <x v="311"/>
    <s v="Texas Tech"/>
    <m/>
    <n v="187"/>
    <s v="9 ¼"/>
    <s v="31 ¼"/>
    <n v="4.57"/>
    <n v="1.58"/>
    <n v="36"/>
    <s v="10-7"/>
    <m/>
    <m/>
    <m/>
    <s v="No"/>
    <m/>
    <s v="TT speed guy, doesn't show up at combine, small frame, gadget player?"/>
    <n v="705"/>
    <n v="6"/>
    <m/>
    <m/>
    <m/>
  </r>
  <r>
    <x v="7"/>
    <x v="6"/>
    <m/>
    <x v="312"/>
    <s v="Wyoming"/>
    <s v="6-5 ¾"/>
    <n v="249"/>
    <n v="10"/>
    <n v="31"/>
    <n v="4.5999999999999996"/>
    <n v="1.6"/>
    <n v="35.5"/>
    <s v="10-8"/>
    <m/>
    <m/>
    <m/>
    <m/>
    <m/>
    <m/>
    <n v="217"/>
    <n v="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x v="0"/>
    <x v="0"/>
    <n v="5"/>
    <s v="Jeremiyah Love"/>
    <x v="0"/>
    <s v="6-01"/>
    <n v="212"/>
    <s v="9 ⅛"/>
    <n v="32"/>
    <n v="4.3600000000000003"/>
    <n v="1.55"/>
    <m/>
    <m/>
    <m/>
    <m/>
    <m/>
    <m/>
    <s v="High"/>
    <m/>
  </r>
  <r>
    <x v="1"/>
    <x v="0"/>
    <n v="7"/>
    <s v="Rueben Bain Jr."/>
    <x v="1"/>
    <s v="6-2 ¼"/>
    <n v="263"/>
    <s v="9⅛"/>
    <s v="30⅞"/>
    <m/>
    <m/>
    <m/>
    <m/>
    <m/>
    <m/>
    <m/>
    <s v="Yes"/>
    <s v="Medium"/>
    <s v="Extremely physical, smart, takes over games, gives all he's got, motor never stops. Short arms a problem"/>
  </r>
  <r>
    <x v="2"/>
    <x v="0"/>
    <n v="10"/>
    <s v="Spencer Fano"/>
    <x v="2"/>
    <s v="6-5½"/>
    <n v="311"/>
    <n v="9"/>
    <s v="32⅛"/>
    <n v="4.91"/>
    <n v="1.72"/>
    <n v="32"/>
    <s v="9-3"/>
    <n v="7.34"/>
    <n v="4.67"/>
    <n v="30"/>
    <m/>
    <s v="High"/>
    <s v="Outland finalist (best lineman)"/>
  </r>
  <r>
    <x v="3"/>
    <x v="0"/>
    <n v="10"/>
    <s v="Mansoor Delane"/>
    <x v="3"/>
    <s v="5-11 ¾"/>
    <n v="196"/>
    <s v="9 ⅝"/>
    <s v="33 ⅛"/>
    <n v="4.45"/>
    <n v="1.57"/>
    <n v="39"/>
    <s v="10-4"/>
    <m/>
    <m/>
    <m/>
    <s v="Yes"/>
    <s v="High"/>
    <s v="Very good, gamer, all around the ball, good in coverage, Thorpe Award winner"/>
  </r>
  <r>
    <x v="4"/>
    <x v="0"/>
    <n v="10"/>
    <s v="Caleb Downs"/>
    <x v="4"/>
    <s v="5-11 ⅝"/>
    <n v="206"/>
    <s v="9 ½"/>
    <s v="30 ¼"/>
    <m/>
    <m/>
    <m/>
    <m/>
    <m/>
    <m/>
    <m/>
    <m/>
    <s v="Medium"/>
    <s v="Outstanding player, one of top prospects in country; Jim Thorpe Award winner, finalist for top defensive players in nation"/>
  </r>
  <r>
    <x v="1"/>
    <x v="0"/>
    <n v="10"/>
    <s v="David Bailey"/>
    <x v="5"/>
    <s v="6-3 ½"/>
    <n v="251"/>
    <s v="10¼"/>
    <s v="33⅝"/>
    <n v="4.5"/>
    <n v="1.62"/>
    <n v="35"/>
    <s v="10-9"/>
    <m/>
    <m/>
    <m/>
    <s v="Yes"/>
    <s v="High"/>
    <s v="Violent burst and speed, special player, game wrecker, high upside (aka Von Miller)"/>
  </r>
  <r>
    <x v="5"/>
    <x v="0"/>
    <n v="15"/>
    <s v="Sonny Styles"/>
    <x v="4"/>
    <s v="6-5"/>
    <n v="244"/>
    <n v="10"/>
    <s v="32⅞"/>
    <n v="4.46"/>
    <n v="1.56"/>
    <n v="43.5"/>
    <s v="11-2"/>
    <n v="7.09"/>
    <n v="4.26"/>
    <m/>
    <s v="Yes"/>
    <s v="High"/>
    <s v="Dude is a chess piece, playing nickle, LB, edge, fantastic athlete, strong too taking on OL, not sure about his instincts"/>
  </r>
  <r>
    <x v="2"/>
    <x v="0"/>
    <n v="15"/>
    <s v="Francis Mauigoa"/>
    <x v="1"/>
    <s v="6-5½"/>
    <n v="329"/>
    <s v="10⅝"/>
    <s v="33¼"/>
    <m/>
    <m/>
    <m/>
    <m/>
    <m/>
    <m/>
    <m/>
    <s v="Yes"/>
    <s v="Medium"/>
    <s v="Good mover, solid player all around, stays square and rarely beat, knows how to use leverage, power"/>
  </r>
  <r>
    <x v="3"/>
    <x v="0"/>
    <n v="15"/>
    <s v="Jermod McCoy"/>
    <x v="6"/>
    <s v="6-0 ¾"/>
    <n v="198"/>
    <s v="8 ⅝"/>
    <s v="31 ⅝"/>
    <n v="4.5"/>
    <n v="1.56"/>
    <m/>
    <m/>
    <m/>
    <m/>
    <m/>
    <s v="Yes"/>
    <s v="High"/>
    <s v="Physical corner, good instincts to read and react, was out most of 2025 with injury"/>
  </r>
  <r>
    <x v="1"/>
    <x v="0"/>
    <n v="15"/>
    <s v="Arvell Reese"/>
    <x v="4"/>
    <s v="6-4 ⅛"/>
    <n v="241"/>
    <s v="9½"/>
    <s v="32½"/>
    <n v="4.46"/>
    <n v="1.58"/>
    <m/>
    <m/>
    <m/>
    <m/>
    <m/>
    <s v="Yes"/>
    <s v="High"/>
    <s v="Physical player, played a lot of MLB and edge, decent reaction speed, athleticism"/>
  </r>
  <r>
    <x v="2"/>
    <x v="0"/>
    <n v="20"/>
    <s v="Monroe Freeling"/>
    <x v="7"/>
    <s v="6-7⅜"/>
    <n v="315"/>
    <s v="10¾"/>
    <s v="34¾"/>
    <n v="4.93"/>
    <n v="1.71"/>
    <n v="33.5"/>
    <s v="9-7"/>
    <m/>
    <m/>
    <m/>
    <s v="Yes"/>
    <s v="High"/>
    <s v="Good tackle, reliable, big, can move, doesn't panic, good length, could be good starter"/>
  </r>
  <r>
    <x v="2"/>
    <x v="0"/>
    <n v="20"/>
    <s v="Caleb Lomu"/>
    <x v="2"/>
    <s v="6-6¼"/>
    <n v="313"/>
    <s v="9½"/>
    <s v="33⅜"/>
    <n v="4.99"/>
    <n v="1.74"/>
    <n v="32.5"/>
    <s v="9-5"/>
    <m/>
    <m/>
    <n v="25"/>
    <m/>
    <s v="High"/>
    <m/>
  </r>
  <r>
    <x v="4"/>
    <x v="0"/>
    <n v="20"/>
    <s v="Dillon Thieneman"/>
    <x v="8"/>
    <s v="6-0 ⅛"/>
    <n v="201"/>
    <n v="9"/>
    <s v="31 ⅜"/>
    <n v="4.3499999999999996"/>
    <n v="1.52"/>
    <n v="41"/>
    <s v="10-5"/>
    <m/>
    <m/>
    <n v="18"/>
    <m/>
    <s v="High"/>
    <s v="Crazy athlete"/>
  </r>
  <r>
    <x v="1"/>
    <x v="0"/>
    <n v="23"/>
    <s v="Cashius Howell"/>
    <x v="9"/>
    <s v="6-2 ½"/>
    <n v="253"/>
    <s v="9¼"/>
    <s v="30¼"/>
    <n v="4.59"/>
    <n v="1.58"/>
    <n v="32.5"/>
    <s v="9-7"/>
    <m/>
    <m/>
    <m/>
    <s v="Yes"/>
    <s v="High"/>
    <s v="Speed, beast off the edge, decent size, legit blue chip pick, Chuck Bednarik finalist (top Def player award)"/>
  </r>
  <r>
    <x v="3"/>
    <x v="0"/>
    <n v="24"/>
    <s v="Avieon Terrell"/>
    <x v="10"/>
    <s v="5-10 ¾"/>
    <n v="194"/>
    <s v="9 ¼"/>
    <s v="33 ⅜"/>
    <n v="4.41"/>
    <n v="1.59"/>
    <n v="37"/>
    <s v="10-3"/>
    <m/>
    <m/>
    <m/>
    <s v="Yes"/>
    <s v="High"/>
    <s v="Good tackler in space (avoids blocks), hunts the ball, great speed to stay with receiver, impacts game at all levels, chess piece"/>
  </r>
  <r>
    <x v="6"/>
    <x v="0"/>
    <n v="25"/>
    <s v="Makai Lemon"/>
    <x v="11"/>
    <s v="5-11 ⅛"/>
    <n v="192"/>
    <s v="8 ¾"/>
    <s v="30 ½"/>
    <n v="4.5"/>
    <m/>
    <m/>
    <m/>
    <m/>
    <m/>
    <m/>
    <m/>
    <s v="High"/>
    <s v="Finalist for Biletnikoff award, quick AND fast, good hands catcher, contested ball guy, not great on scramble drill"/>
  </r>
  <r>
    <x v="6"/>
    <x v="0"/>
    <n v="25"/>
    <s v="Jordyn Tyson"/>
    <x v="12"/>
    <s v="6-2 ⅛"/>
    <n v="203"/>
    <s v="9 ⅛"/>
    <s v="30 ¼"/>
    <m/>
    <m/>
    <m/>
    <m/>
    <m/>
    <m/>
    <m/>
    <m/>
    <s v="High"/>
    <s v="Quick and sudden WR, one of those guys that is both quick and fast, decent but not great hands, gadget + could be very good"/>
  </r>
  <r>
    <x v="7"/>
    <x v="0"/>
    <n v="25"/>
    <s v="Kenyon Sadiq"/>
    <x v="8"/>
    <s v="6-3 ⅛"/>
    <n v="241"/>
    <n v="10"/>
    <s v="31 ½"/>
    <n v="4.3899999999999997"/>
    <n v="1.54"/>
    <n v="43.5"/>
    <s v="11-1"/>
    <m/>
    <m/>
    <m/>
    <m/>
    <s v="High"/>
    <s v="Incredibly athletic TE, a bit light but rocked up (Mackey Award finalist)"/>
  </r>
  <r>
    <x v="6"/>
    <x v="0"/>
    <n v="29"/>
    <s v="KC Concepcion"/>
    <x v="9"/>
    <s v="5-11 ⅝"/>
    <n v="196"/>
    <s v="9 ¼"/>
    <s v="30 ¼"/>
    <m/>
    <m/>
    <m/>
    <m/>
    <m/>
    <m/>
    <m/>
    <s v="Yes"/>
    <s v="High"/>
    <s v="Returner, dangerous w/ball, twitchy in open space, good hands, high volume WR, big time gamer"/>
  </r>
  <r>
    <x v="8"/>
    <x v="0"/>
    <n v="30"/>
    <s v="Olaivavega Ioane"/>
    <x v="13"/>
    <s v="6-4¼"/>
    <n v="320"/>
    <s v="10½"/>
    <s v="32¾"/>
    <m/>
    <m/>
    <n v="31.5"/>
    <s v="8-8"/>
    <m/>
    <m/>
    <m/>
    <s v="Yes"/>
    <s v="Low"/>
    <s v="Big and physical IOL with a nasty streak, best IOL in draft+A9:S12"/>
  </r>
  <r>
    <x v="1"/>
    <x v="0"/>
    <n v="31"/>
    <s v="Keldric Faulk"/>
    <x v="14"/>
    <s v="6-5 ⅞"/>
    <n v="276"/>
    <s v="9¾"/>
    <s v="34⅜"/>
    <n v="4.67"/>
    <m/>
    <n v="35"/>
    <s v="9-9"/>
    <m/>
    <m/>
    <n v="17"/>
    <s v="Yes"/>
    <s v="Medium"/>
    <s v="More power than speed rusher, good motor, good pass rusher"/>
  </r>
  <r>
    <x v="9"/>
    <x v="1"/>
    <n v="36"/>
    <s v="Kayden McDonald"/>
    <x v="4"/>
    <s v="6-2 ⅛"/>
    <n v="326"/>
    <s v="9⅝"/>
    <s v="32¼"/>
    <m/>
    <m/>
    <m/>
    <m/>
    <m/>
    <m/>
    <m/>
    <s v="Yes"/>
    <s v="Low"/>
    <s v="Big man, big leader, regularly double-teamed but fights through, stout and attacks downhill, great motor; Outland finalist"/>
  </r>
  <r>
    <x v="3"/>
    <x v="1"/>
    <n v="36"/>
    <s v="Colton Hood"/>
    <x v="6"/>
    <s v="5-11 ⅝"/>
    <n v="187"/>
    <s v="8 ½"/>
    <s v="32 ⅛"/>
    <n v="4.5"/>
    <n v="1.64"/>
    <n v="39"/>
    <s v="10-3"/>
    <m/>
    <m/>
    <m/>
    <s v="Yes"/>
    <s v="Medium"/>
    <s v="All around the ball, physical tackler, plays the run, plays the ball, baller"/>
  </r>
  <r>
    <x v="6"/>
    <x v="1"/>
    <n v="38"/>
    <s v="Carnell Tate"/>
    <x v="4"/>
    <s v="6-2 ¼"/>
    <n v="192"/>
    <s v="10 ¼"/>
    <s v="31 ¾"/>
    <n v="4.53"/>
    <n v="1.61"/>
    <m/>
    <m/>
    <m/>
    <m/>
    <m/>
    <m/>
    <s v="Medium"/>
    <s v="Good route runner, expected more with Smith getting so much attention"/>
  </r>
  <r>
    <x v="6"/>
    <x v="1"/>
    <n v="40"/>
    <s v="Omar Cooper Jr."/>
    <x v="15"/>
    <s v="6-0 ⅛"/>
    <n v="196"/>
    <s v="9 ⅝"/>
    <s v="30 ¼"/>
    <n v="4.42"/>
    <n v="1.55"/>
    <n v="37"/>
    <m/>
    <m/>
    <m/>
    <m/>
    <m/>
    <s v="Medium"/>
    <s v="Speedy WR Mendoza favorite, slot WR"/>
  </r>
  <r>
    <x v="2"/>
    <x v="1"/>
    <n v="40"/>
    <s v="Kadyn Proctor"/>
    <x v="16"/>
    <s v="6-6⅝"/>
    <n v="352"/>
    <s v="9¾"/>
    <s v="33⅜"/>
    <n v="5.21"/>
    <n v="1.84"/>
    <n v="32.5"/>
    <s v="9-1"/>
    <n v="7.78"/>
    <n v="4.78"/>
    <m/>
    <s v="No"/>
    <s v="Medium"/>
    <s v="Huge man, physical and gap mauler, not very mobile to get up to second level"/>
  </r>
  <r>
    <x v="3"/>
    <x v="1"/>
    <n v="45"/>
    <s v="Chris Johnson"/>
    <x v="17"/>
    <s v="6-01"/>
    <n v="203"/>
    <s v="9 ¾"/>
    <s v="32 ⅝"/>
    <n v="4.49"/>
    <n v="1.59"/>
    <n v="40"/>
    <s v="11-2"/>
    <n v="7.13"/>
    <n v="4.12"/>
    <n v="16"/>
    <s v="Yes"/>
    <s v="High"/>
    <m/>
  </r>
  <r>
    <x v="6"/>
    <x v="1"/>
    <n v="45"/>
    <s v="Denzel Boston"/>
    <x v="18"/>
    <s v="6-3 ⅝"/>
    <n v="212"/>
    <s v="9 ⅝"/>
    <n v="32"/>
    <m/>
    <m/>
    <n v="37.5"/>
    <m/>
    <n v="6.8"/>
    <n v="4.28"/>
    <m/>
    <m/>
    <s v="Medium"/>
    <s v="Big and physical WR, good hands, decent athlete, tough"/>
  </r>
  <r>
    <x v="1"/>
    <x v="1"/>
    <n v="45"/>
    <s v="Akheem Mesidor"/>
    <x v="1"/>
    <s v="6-3"/>
    <n v="259"/>
    <n v="10"/>
    <s v="32⅛"/>
    <m/>
    <m/>
    <m/>
    <m/>
    <m/>
    <m/>
    <m/>
    <s v="No"/>
    <s v="Low"/>
    <s v="Quickish, right place/right time kind of guy, get's overwhelmed by good OL, drops in coverage, not very physical, good motor tho"/>
  </r>
  <r>
    <x v="10"/>
    <x v="1"/>
    <n v="45"/>
    <s v="Fernando Mendoza"/>
    <x v="15"/>
    <s v="6-4 ¾"/>
    <n v="236"/>
    <s v="9 ½"/>
    <s v="31 ⅞"/>
    <m/>
    <m/>
    <m/>
    <m/>
    <m/>
    <m/>
    <m/>
    <s v="No"/>
    <m/>
    <s v="Quick, accurate delivery, not the most mobile guy"/>
  </r>
  <r>
    <x v="8"/>
    <x v="1"/>
    <n v="45"/>
    <s v="Gennings Dunker"/>
    <x v="19"/>
    <s v="6-5"/>
    <n v="319"/>
    <n v="10"/>
    <s v="33½"/>
    <n v="5.18"/>
    <n v="1.83"/>
    <n v="32.5"/>
    <s v="9-1"/>
    <n v="7.58"/>
    <n v="4.63"/>
    <n v="29"/>
    <s v="Yes"/>
    <s v="Medium"/>
    <s v="Physical mover of men, not amazing lateral agility, great strength, probably not best in zone, better in gap, bit stiff"/>
  </r>
  <r>
    <x v="3"/>
    <x v="1"/>
    <n v="46"/>
    <s v="Brandon Cisse"/>
    <x v="20"/>
    <s v="5-11 ¾"/>
    <n v="189"/>
    <s v="9 ⅛"/>
    <s v="32 ⅞"/>
    <n v="4.45"/>
    <n v="1.58"/>
    <n v="34"/>
    <s v="10-1"/>
    <m/>
    <n v="4.33"/>
    <n v="15"/>
    <s v="Yes"/>
    <s v="Medium"/>
    <s v="Very explosive, fast trigger downhill, COD and mirror, fast enough, 20yo player, lacking ball skills"/>
  </r>
  <r>
    <x v="0"/>
    <x v="1"/>
    <n v="50"/>
    <s v="Jadarian Price"/>
    <x v="0"/>
    <s v="5-10 ⅝"/>
    <n v="203"/>
    <s v="9 ⅝"/>
    <s v="30 ⅞"/>
    <n v="4.49"/>
    <n v="1.61"/>
    <n v="35"/>
    <s v="10-4"/>
    <m/>
    <m/>
    <n v="21"/>
    <s v="Yes"/>
    <s v="High"/>
    <s v="Has all the physical tools to be a great back, good vision, speed, physicality. Just hasn't shown it as full time back."/>
  </r>
  <r>
    <x v="10"/>
    <x v="1"/>
    <n v="50"/>
    <s v="Ty Simpson"/>
    <x v="16"/>
    <s v="6-1 ⅛"/>
    <n v="211"/>
    <s v="9 ⅜"/>
    <s v="30 ⅞"/>
    <m/>
    <m/>
    <m/>
    <m/>
    <m/>
    <m/>
    <m/>
    <s v="No"/>
    <m/>
    <s v="Plays hard, ultimately not super impressed, athletic"/>
  </r>
  <r>
    <x v="9"/>
    <x v="1"/>
    <n v="50"/>
    <s v="Peter Woods"/>
    <x v="10"/>
    <s v="6-2 ½"/>
    <n v="298"/>
    <s v="9⅛"/>
    <s v="31¼"/>
    <m/>
    <m/>
    <n v="29"/>
    <d v="2026-08-08T00:00:00"/>
    <n v="7.7"/>
    <n v="4.54"/>
    <m/>
    <s v="No"/>
    <s v="High"/>
    <s v="Powerful, quick, sheds blocks, a bit light and can get moved in run game, don't think he'll be a game wrecker in NFL."/>
  </r>
  <r>
    <x v="2"/>
    <x v="1"/>
    <n v="55"/>
    <s v="Blake Miller"/>
    <x v="10"/>
    <s v="6-6¾"/>
    <n v="317"/>
    <s v="9¾"/>
    <s v="34¼"/>
    <n v="5.04"/>
    <n v="1.75"/>
    <n v="32"/>
    <s v="9-5"/>
    <n v="7.75"/>
    <n v="4.6500000000000004"/>
    <m/>
    <s v="No"/>
    <s v="High"/>
    <s v="Not best lateral mover, see Louisville game, perhaps teachable but don't see top level talent, strange stance"/>
  </r>
  <r>
    <x v="9"/>
    <x v="1"/>
    <n v="55"/>
    <s v="Christen Miller"/>
    <x v="7"/>
    <s v="6-3 ¾"/>
    <n v="321"/>
    <n v="10"/>
    <n v="33"/>
    <m/>
    <m/>
    <m/>
    <m/>
    <m/>
    <m/>
    <m/>
    <s v="Yes"/>
    <s v="High"/>
    <s v="Surprisingly quick for his size, long arms, good tackler, good power, good motor, flexible, should be 3 tech (not nose)"/>
  </r>
  <r>
    <x v="8"/>
    <x v="1"/>
    <n v="55"/>
    <s v="Emmanuel Pregnon"/>
    <x v="8"/>
    <s v="6-4¼"/>
    <n v="314"/>
    <n v="11"/>
    <s v="33⅝"/>
    <n v="5.21"/>
    <n v="1.82"/>
    <n v="35"/>
    <s v="9-3"/>
    <n v="7.72"/>
    <n v="4.8099999999999996"/>
    <n v="30"/>
    <s v="Yes"/>
    <s v="Medium"/>
    <s v="LG, great athlete, a bit uncoordinated and stiff, weak dealing with quicker athletes"/>
  </r>
  <r>
    <x v="1"/>
    <x v="1"/>
    <n v="60"/>
    <s v="Malachi Lawrence"/>
    <x v="21"/>
    <s v="6-4"/>
    <n v="253"/>
    <s v="9¼"/>
    <s v="33⅝"/>
    <n v="4.5199999999999996"/>
    <n v="1.59"/>
    <n v="40"/>
    <s v="10-10"/>
    <m/>
    <m/>
    <m/>
    <m/>
    <s v="High"/>
    <s v="Fantastic effort, natural pass rusher, disruptive, weak vs. run, not overly strong"/>
  </r>
  <r>
    <x v="3"/>
    <x v="1"/>
    <n v="60"/>
    <s v="Hezekiah Masses"/>
    <x v="22"/>
    <s v="6-1"/>
    <n v="189"/>
    <n v="9"/>
    <s v="32 ⅝"/>
    <n v="4.5199999999999996"/>
    <n v="1.56"/>
    <n v="42"/>
    <s v="11-1"/>
    <n v="7.31"/>
    <n v="4.51"/>
    <m/>
    <s v="Yes"/>
    <s v="Medium"/>
    <s v="Good length, outstanding ball skills, not fastest straight-line speed but savy and explosive in short areas"/>
  </r>
  <r>
    <x v="4"/>
    <x v="1"/>
    <n v="60"/>
    <s v="Emmanuel McNeil-Warren"/>
    <x v="23"/>
    <s v="6-3 ½"/>
    <n v="201"/>
    <s v="9 ¼"/>
    <s v="32 ⅛"/>
    <n v="4.5199999999999996"/>
    <n v="1.58"/>
    <n v="35.5"/>
    <s v="10-2"/>
    <m/>
    <m/>
    <m/>
    <s v="Maybe"/>
    <s v="High"/>
    <s v="Good length, willing tackler, fluid hips, not best angles, robber SS, versatile"/>
  </r>
  <r>
    <x v="5"/>
    <x v="1"/>
    <n v="62"/>
    <s v="Anthony Hill"/>
    <x v="24"/>
    <s v="6-2"/>
    <n v="238"/>
    <s v="9⅝"/>
    <s v="32⅜"/>
    <n v="4.51"/>
    <n v="1.58"/>
    <n v="37"/>
    <s v="10-5"/>
    <m/>
    <m/>
    <n v="21"/>
    <m/>
    <s v="High"/>
    <s v="Butkus Award finalist, highly athletic, thumper, sideline to sideline, good instincts, comes downhill"/>
  </r>
  <r>
    <x v="3"/>
    <x v="1"/>
    <n v="64"/>
    <s v="D'Angelo Ponds"/>
    <x v="15"/>
    <s v="5-8 ⅝"/>
    <n v="188"/>
    <s v="8 ¾"/>
    <s v="30 ⅝"/>
    <m/>
    <m/>
    <n v="39"/>
    <m/>
    <m/>
    <m/>
    <m/>
    <s v="Yes"/>
    <s v="Medium"/>
    <s v="Physical scrappy CB who pays way bigger than his size, explosive athlete but unsure about speed, very small"/>
  </r>
  <r>
    <x v="1"/>
    <x v="1"/>
    <n v="65"/>
    <s v="Romello Height"/>
    <x v="5"/>
    <s v="6-3"/>
    <n v="239"/>
    <s v="9½"/>
    <s v="32¼"/>
    <n v="4.6399999999999997"/>
    <n v="1.63"/>
    <n v="39"/>
    <s v="10-5"/>
    <m/>
    <m/>
    <m/>
    <s v="Yes"/>
    <s v="Low"/>
    <s v="Explosive edge player but not twitchy, polished pass rush moves, uses hands well, can pass rush day 1"/>
  </r>
  <r>
    <x v="6"/>
    <x v="1"/>
    <n v="65"/>
    <s v="Zachariah Branch"/>
    <x v="7"/>
    <s v="5-8 ⅝"/>
    <n v="177"/>
    <n v="9"/>
    <s v="29 ⅜"/>
    <n v="4.3499999999999996"/>
    <n v="1.5"/>
    <n v="38"/>
    <s v="10-5"/>
    <m/>
    <m/>
    <m/>
    <s v="Yes"/>
    <s v="Medium"/>
    <s v="Speedster gadget player"/>
  </r>
  <r>
    <x v="3"/>
    <x v="1"/>
    <n v="65"/>
    <s v="Davison Igbinosun"/>
    <x v="4"/>
    <s v="6-2"/>
    <n v="193"/>
    <s v="10 ⅛"/>
    <n v="32"/>
    <n v="4.41"/>
    <n v="1.55"/>
    <n v="42"/>
    <s v="11-1"/>
    <m/>
    <m/>
    <m/>
    <s v="Yes"/>
    <s v="High"/>
    <s v="Willing tackler, long and lean, great speed, read react downhill"/>
  </r>
  <r>
    <x v="9"/>
    <x v="1"/>
    <n v="65"/>
    <s v="Caleb Banks"/>
    <x v="25"/>
    <s v="6-6 ¼"/>
    <n v="327"/>
    <s v="10⅞"/>
    <n v="35"/>
    <n v="5.05"/>
    <n v="1.76"/>
    <n v="32"/>
    <s v="9-6"/>
    <m/>
    <m/>
    <m/>
    <s v="No"/>
    <s v="High"/>
    <s v="Huge man, long bullish arms/hands, motor is meh for me"/>
  </r>
  <r>
    <x v="4"/>
    <x v="1"/>
    <n v="70"/>
    <s v="Zakee Wheatley"/>
    <x v="13"/>
    <s v="6-3"/>
    <n v="203"/>
    <s v="9 ½"/>
    <n v="31"/>
    <n v="4.62"/>
    <m/>
    <n v="32.5"/>
    <s v="10-2"/>
    <n v="6.98"/>
    <n v="4.1100000000000003"/>
    <m/>
    <s v="Yes"/>
    <s v="Medium"/>
    <s v="Rangy and smart player, good coverage player, tackles well, ball skills"/>
  </r>
  <r>
    <x v="8"/>
    <x v="1"/>
    <n v="70"/>
    <s v="Keylan Rutledge"/>
    <x v="26"/>
    <s v="6-4"/>
    <n v="316"/>
    <n v="10"/>
    <s v="33¼"/>
    <n v="5.05"/>
    <n v="1.81"/>
    <n v="32.5"/>
    <s v="8-8"/>
    <n v="7.54"/>
    <m/>
    <n v="27"/>
    <m/>
    <s v="Medium"/>
    <s v="Very strong player, mauler, violent hands, decent mover, power/gap scheme fit"/>
  </r>
  <r>
    <x v="2"/>
    <x v="2"/>
    <n v="80"/>
    <s v="Max Iheanachor"/>
    <x v="12"/>
    <s v="6-5⅞"/>
    <n v="321"/>
    <n v="9"/>
    <s v="33⅞"/>
    <n v="4.91"/>
    <n v="1.73"/>
    <n v="30.5"/>
    <s v="9-7"/>
    <m/>
    <m/>
    <m/>
    <s v="Maybe"/>
    <s v="High"/>
    <s v="Decent athlete, moves ok, getting beat on the reg by Romello Height from TT"/>
  </r>
  <r>
    <x v="4"/>
    <x v="2"/>
    <n v="85"/>
    <s v="Bud Clark"/>
    <x v="27"/>
    <s v="6-01"/>
    <n v="188"/>
    <n v="9"/>
    <s v="31 ½"/>
    <n v="4.41"/>
    <n v="1.56"/>
    <n v="38"/>
    <s v="10-7"/>
    <m/>
    <m/>
    <m/>
    <s v="Yes"/>
    <s v="High"/>
    <s v="Great speed, 3 yr captain, versatile, good instincts, will take chances, could improve tackling, hybrid - FS/Nickel"/>
  </r>
  <r>
    <x v="2"/>
    <x v="2"/>
    <n v="85"/>
    <s v="Dametrious Crownover"/>
    <x v="9"/>
    <s v="6-7¼"/>
    <n v="319"/>
    <n v="10"/>
    <s v="35⅜"/>
    <n v="5.14"/>
    <n v="1.79"/>
    <m/>
    <m/>
    <m/>
    <m/>
    <m/>
    <s v="Maybe"/>
    <s v="Medium"/>
    <s v="Good size and length, not a great mover, power scheme late rounder/UDFA"/>
  </r>
  <r>
    <x v="1"/>
    <x v="2"/>
    <n v="90"/>
    <s v="Vincent Anthony Jr."/>
    <x v="28"/>
    <s v="6-6"/>
    <n v="258"/>
    <n v="10"/>
    <s v="34⅛"/>
    <n v="4.84"/>
    <n v="1.67"/>
    <n v="32.5"/>
    <s v="10-3"/>
    <m/>
    <m/>
    <m/>
    <s v="Maybe"/>
    <s v="High"/>
    <s v="Just decent athlete, does have decent bend, attacks the ball, not great vs run, plays more athletic than tests, bit of drama queen"/>
  </r>
  <r>
    <x v="5"/>
    <x v="2"/>
    <n v="90"/>
    <s v="CJ Allen"/>
    <x v="7"/>
    <s v="6-0 ¾"/>
    <n v="230"/>
    <s v="10⅛"/>
    <s v="31½"/>
    <m/>
    <m/>
    <m/>
    <m/>
    <m/>
    <m/>
    <m/>
    <m/>
    <s v="Medium"/>
    <s v="Decent job filling holes, Butkus Award finalist, not most athletic, great instincts, thumper, good tackler"/>
  </r>
  <r>
    <x v="0"/>
    <x v="2"/>
    <n v="90"/>
    <s v="Mike Washington"/>
    <x v="29"/>
    <s v="6-1"/>
    <n v="223"/>
    <s v="9 ¼"/>
    <s v="33 ⅝"/>
    <n v="4.33"/>
    <n v="1.51"/>
    <n v="39"/>
    <s v="10-8"/>
    <n v="6.96"/>
    <n v="4.32"/>
    <m/>
    <s v="Yes"/>
    <s v="High"/>
    <s v="Very fast, good at setting up angles, great latereal agility, home run hitter, physical, good receiver, mixed vision"/>
  </r>
  <r>
    <x v="4"/>
    <x v="2"/>
    <n v="90"/>
    <s v="Treydan Stukes"/>
    <x v="30"/>
    <s v="6-1"/>
    <n v="190"/>
    <s v="8 ½"/>
    <s v="31 ¾"/>
    <n v="4.33"/>
    <n v="1.5"/>
    <n v="38"/>
    <s v="10-10"/>
    <m/>
    <m/>
    <n v="16"/>
    <s v="Yes"/>
    <s v="High"/>
    <s v="Big nickle, good zone, smart, plays LB, S, CB, nickel - hybrid FS/Nickel"/>
  </r>
  <r>
    <x v="5"/>
    <x v="2"/>
    <n v="91"/>
    <s v="Josiah Trotter"/>
    <x v="31"/>
    <s v="6-2"/>
    <n v="237"/>
    <s v="10¼"/>
    <s v="32¼"/>
    <m/>
    <m/>
    <m/>
    <m/>
    <m/>
    <m/>
    <n v="27"/>
    <m/>
    <m/>
    <s v="Great instincts, thumper, good power, speed is a question, classic MLB"/>
  </r>
  <r>
    <x v="6"/>
    <x v="2"/>
    <n v="91"/>
    <s v="Chris Bell"/>
    <x v="32"/>
    <s v="6-1 ⅞"/>
    <n v="222"/>
    <n v="10"/>
    <s v="31 ¾"/>
    <m/>
    <m/>
    <m/>
    <m/>
    <m/>
    <m/>
    <m/>
    <s v="Yes"/>
    <s v="Medium"/>
    <s v="Will be physical with CBs, gave Clemson all kinds of trouble, great hands and route runner. Will be good player in NFL"/>
  </r>
  <r>
    <x v="1"/>
    <x v="2"/>
    <n v="92"/>
    <s v="Anthony Lucas"/>
    <x v="11"/>
    <s v="6-5 ½"/>
    <n v="256"/>
    <s v="10¼"/>
    <s v="33⅜"/>
    <m/>
    <m/>
    <m/>
    <m/>
    <m/>
    <m/>
    <m/>
    <s v="No"/>
    <s v="High"/>
    <s v="Very long edge player, can play all positions on DL, not bendy or bursty, high upside"/>
  </r>
  <r>
    <x v="5"/>
    <x v="2"/>
    <n v="92"/>
    <s v="Jacob Rodriguez"/>
    <x v="5"/>
    <s v="6-1"/>
    <n v="231"/>
    <s v="9¼"/>
    <s v="30⅞"/>
    <n v="4.57"/>
    <n v="1.6"/>
    <n v="38.5"/>
    <s v="10-1"/>
    <n v="6.9"/>
    <n v="4.1900000000000004"/>
    <m/>
    <m/>
    <s v="High"/>
    <s v="One of best LBs in nation, more quick than fast, instinctual, stopping power, explosive quickness, up for all awards"/>
  </r>
  <r>
    <x v="1"/>
    <x v="2"/>
    <n v="93"/>
    <s v="T.J. Parker"/>
    <x v="10"/>
    <s v="6-3 ½"/>
    <n v="263"/>
    <s v="9½"/>
    <s v="33⅛"/>
    <n v="4.68"/>
    <n v="1.61"/>
    <n v="34"/>
    <s v="10-1"/>
    <m/>
    <m/>
    <m/>
    <s v="Yes"/>
    <s v="Medium"/>
    <s v="Good speed to power, powerful end, runs down for the ball, did more setting edge, plays high, needs to grow in pass rush"/>
  </r>
  <r>
    <x v="8"/>
    <x v="2"/>
    <n v="95"/>
    <s v="Logan Jones"/>
    <x v="19"/>
    <s v="6-2⅞"/>
    <n v="299"/>
    <s v="9½"/>
    <s v="30¾"/>
    <n v="4.9000000000000004"/>
    <n v="1.75"/>
    <n v="32"/>
    <s v="9-2"/>
    <n v="7.46"/>
    <n v="4.59"/>
    <m/>
    <s v="Yes"/>
    <s v="Medium"/>
    <s v="Outland finalist (best lineman), agility is a huge plus, may be too small for NFL, tough as hell, never gets pushed back"/>
  </r>
  <r>
    <x v="6"/>
    <x v="2"/>
    <n v="95"/>
    <s v="Chris Brazzell II"/>
    <x v="6"/>
    <s v="6-4"/>
    <n v="198"/>
    <n v="9"/>
    <s v="32 ⅜"/>
    <n v="4.37"/>
    <n v="1.52"/>
    <m/>
    <m/>
    <m/>
    <m/>
    <m/>
    <s v="Yes"/>
    <s v="High"/>
    <s v="Quick, in control, fast off the line, beat press with speed, hand catcher, like him a lot, great size, tracks ball well, wins 1:1s"/>
  </r>
  <r>
    <x v="0"/>
    <x v="2"/>
    <n v="95"/>
    <s v="Emmett Johnson"/>
    <x v="33"/>
    <s v="5-10 ¼"/>
    <n v="202"/>
    <s v="9 ⅝"/>
    <s v="30 ¼"/>
    <n v="4.5599999999999996"/>
    <n v="1.59"/>
    <n v="35.5"/>
    <s v="10-1"/>
    <n v="7.32"/>
    <n v="4.29"/>
    <n v="16"/>
    <s v="Maybe"/>
    <s v="Medium"/>
    <s v="Shifty back that does most things well for his size, great stop/start stutter step moves, north/south runner, tough"/>
  </r>
  <r>
    <x v="1"/>
    <x v="2"/>
    <n v="95"/>
    <s v="Dani Dennis-Sutton"/>
    <x v="13"/>
    <s v="6-6"/>
    <n v="256"/>
    <s v="10⅛"/>
    <s v="33⅜"/>
    <n v="4.63"/>
    <n v="1.63"/>
    <n v="39.5"/>
    <s v="10-11"/>
    <n v="6.9"/>
    <m/>
    <n v="26"/>
    <m/>
    <s v="High"/>
    <s v="Great athlete and frame, great motor, strong, a bit stiff, not bendy, more DE than Edge"/>
  </r>
  <r>
    <x v="3"/>
    <x v="2"/>
    <n v="96"/>
    <s v="Keionte Scott"/>
    <x v="1"/>
    <s v="5-11 ¼"/>
    <n v="191"/>
    <s v="8 ⅝"/>
    <s v="31 ¼"/>
    <n v="4.43"/>
    <n v="1.58"/>
    <n v="38.5"/>
    <s v="10-11"/>
    <n v="7"/>
    <n v="4.18"/>
    <m/>
    <s v="Yes"/>
    <s v="High"/>
    <s v="Good ball skills, great int in FBS playoffs, blitzes frequently, good straight line speed, can play nickle, very physical- takes on OL"/>
  </r>
  <r>
    <x v="8"/>
    <x v="2"/>
    <n v="97"/>
    <s v="Chase Bisontis"/>
    <x v="9"/>
    <s v="6-5¼"/>
    <n v="315"/>
    <s v="9¾"/>
    <s v="31¾"/>
    <n v="5.0199999999999996"/>
    <n v="1.76"/>
    <n v="32"/>
    <s v="8-9"/>
    <n v="7.53"/>
    <n v="4.78"/>
    <m/>
    <s v="Yes"/>
    <s v="Low"/>
    <s v="Good power, decent movement"/>
  </r>
  <r>
    <x v="3"/>
    <x v="2"/>
    <n v="98"/>
    <s v="Keith Abney"/>
    <x v="12"/>
    <s v="5-10"/>
    <n v="189"/>
    <s v="9 ½"/>
    <n v="30"/>
    <n v="4.59"/>
    <n v="1.62"/>
    <n v="36"/>
    <m/>
    <n v="7.19"/>
    <n v="4.1900000000000004"/>
    <m/>
    <s v="Yes"/>
    <s v="Medium"/>
    <s v="Willing tackler, decent cover guy, small shifty in space, lack of straight-line speed, comes downhill fast tho"/>
  </r>
  <r>
    <x v="3"/>
    <x v="2"/>
    <n v="100"/>
    <s v="Will Lee III"/>
    <x v="9"/>
    <s v="6-1 ½"/>
    <n v="200"/>
    <s v="9 ⅜"/>
    <s v="30 ⅝"/>
    <n v="4.49"/>
    <n v="1.56"/>
    <n v="35"/>
    <s v="10-9"/>
    <m/>
    <n v="4.28"/>
    <m/>
    <s v="Yes"/>
    <s v="Medium"/>
    <s v="Great size, length, smart player, explosive player even if slow 40"/>
  </r>
  <r>
    <x v="1"/>
    <x v="2"/>
    <n v="100"/>
    <s v="Joshua Josephs"/>
    <x v="6"/>
    <s v="6-3"/>
    <n v="242"/>
    <n v="10"/>
    <s v="34¼"/>
    <m/>
    <m/>
    <m/>
    <m/>
    <m/>
    <m/>
    <m/>
    <s v="Maybe"/>
    <s v="High"/>
    <s v="A little light in the shorts, good effort, can get blocked by TE, can speed rush off the outside, beat good OT (Freeling)"/>
  </r>
  <r>
    <x v="7"/>
    <x v="2"/>
    <n v="100"/>
    <s v="Eli Stowers"/>
    <x v="34"/>
    <s v="6-3 ¾"/>
    <n v="239"/>
    <s v="9 ⅝"/>
    <s v="32 ⅝"/>
    <n v="4.51"/>
    <n v="1.59"/>
    <n v="45.5"/>
    <s v="11-3"/>
    <m/>
    <m/>
    <m/>
    <m/>
    <s v="High"/>
    <s v="Mackey Award finalist, explosive TE, really just a big WR, great YAC, physical"/>
  </r>
  <r>
    <x v="6"/>
    <x v="2"/>
    <n v="105"/>
    <s v="Skyler Bell"/>
    <x v="35"/>
    <s v="5-11 ⅝"/>
    <n v="192"/>
    <n v="10"/>
    <s v="31 ⅛"/>
    <n v="4.4000000000000004"/>
    <n v="1.53"/>
    <n v="41"/>
    <s v="11-1"/>
    <n v="6.65"/>
    <n v="4.1100000000000003"/>
    <m/>
    <s v="Maybe"/>
    <s v="High"/>
    <s v="Finalist for Biletnikoff award, Josh Downs type player, great body control, decent route runner, speed in field"/>
  </r>
  <r>
    <x v="6"/>
    <x v="2"/>
    <n v="109"/>
    <s v="Bryce Lance"/>
    <x v="36"/>
    <s v="6-3 ⅜"/>
    <n v="204"/>
    <s v="9 ¼"/>
    <s v="32 ⅛"/>
    <n v="4.34"/>
    <n v="1.49"/>
    <n v="41.5"/>
    <s v="11-1"/>
    <m/>
    <m/>
    <m/>
    <s v="Maybe"/>
    <s v="High"/>
    <s v="Tall and long player, fires out of stance, fantastic speed, small school guy, great hands and route runner"/>
  </r>
  <r>
    <x v="5"/>
    <x v="3"/>
    <n v="94"/>
    <s v="Kyle Louis"/>
    <x v="37"/>
    <s v="6-01"/>
    <n v="220"/>
    <s v="9½"/>
    <s v="31¼"/>
    <n v="4.53"/>
    <n v="1.58"/>
    <n v="39.5"/>
    <s v="10-9"/>
    <n v="6.97"/>
    <n v="4.26"/>
    <m/>
    <s v="Yes"/>
    <s v="High"/>
    <s v="Good athlete and tackler, smaller player at LB, sideline to sideline, keeps square, great in coverage, chess piece (may be a safety)"/>
  </r>
  <r>
    <x v="5"/>
    <x v="3"/>
    <n v="95"/>
    <s v="Jimmy Rolder"/>
    <x v="38"/>
    <s v="6-2 ½"/>
    <n v="238"/>
    <s v="9⅝"/>
    <s v="30½"/>
    <m/>
    <m/>
    <n v="36"/>
    <s v="9-11"/>
    <n v="7"/>
    <n v="4.26"/>
    <n v="17"/>
    <s v="No"/>
    <s v="High"/>
    <s v="Physical player, good short area quickness, shorter arms"/>
  </r>
  <r>
    <x v="5"/>
    <x v="3"/>
    <n v="96"/>
    <s v="Taurean York"/>
    <x v="9"/>
    <s v="5-11"/>
    <n v="226"/>
    <s v="8⅜"/>
    <n v="30"/>
    <m/>
    <m/>
    <m/>
    <m/>
    <n v="7.32"/>
    <n v="4.4800000000000004"/>
    <n v="25"/>
    <s v="Yes"/>
    <m/>
    <s v="Super smart, physical, stays square, smalller guy, not most athletic, gets stuck on blockers"/>
  </r>
  <r>
    <x v="5"/>
    <x v="3"/>
    <n v="97"/>
    <s v="Harold Perkins Jr."/>
    <x v="3"/>
    <s v="6-1"/>
    <n v="223"/>
    <s v="8⅛"/>
    <s v="31⅜"/>
    <m/>
    <m/>
    <m/>
    <m/>
    <m/>
    <m/>
    <m/>
    <m/>
    <s v="Medium"/>
    <s v="Good motor/hussle, took green dot away from him, explosive, smallish guy, pass rusher?"/>
  </r>
  <r>
    <x v="5"/>
    <x v="3"/>
    <n v="99"/>
    <s v="Kendal Daniels"/>
    <x v="39"/>
    <s v="6-5"/>
    <n v="242"/>
    <s v="9½"/>
    <s v="32⅝"/>
    <n v="4.76"/>
    <m/>
    <n v="29.5"/>
    <m/>
    <m/>
    <n v="4.37"/>
    <m/>
    <s v="Yes"/>
    <s v="Medium"/>
    <s v="Good instincts, big game against Michigan, plays on the edge, in coverage, bit of a chess piece"/>
  </r>
  <r>
    <x v="4"/>
    <x v="3"/>
    <n v="110"/>
    <s v="Kamari Ramsey"/>
    <x v="11"/>
    <s v="6-01"/>
    <n v="202"/>
    <s v="9 ¼"/>
    <s v="30 ⅝"/>
    <n v="4.47"/>
    <n v="1.57"/>
    <n v="36"/>
    <s v="10-1"/>
    <m/>
    <m/>
    <n v="16"/>
    <s v="Yes"/>
    <s v="High"/>
    <s v="Versatile, good athlete, physical tackler, cover TE, playmaker, tough"/>
  </r>
  <r>
    <x v="1"/>
    <x v="3"/>
    <n v="110"/>
    <s v="Max Llewellyn"/>
    <x v="19"/>
    <s v="6-6"/>
    <n v="258"/>
    <n v="9"/>
    <s v="32¼"/>
    <n v="4.8099999999999996"/>
    <n v="1.64"/>
    <n v="32.5"/>
    <s v="9-7"/>
    <n v="7.23"/>
    <n v="4.4800000000000004"/>
    <n v="26"/>
    <s v="Yes"/>
    <s v="Low"/>
    <s v="Dude is a playmaker, showed up huge against Oregon, relentless motor, not bendy or super athletic"/>
  </r>
  <r>
    <x v="1"/>
    <x v="3"/>
    <n v="111"/>
    <s v="Zion Young"/>
    <x v="31"/>
    <s v="6-6"/>
    <n v="262"/>
    <s v="9½"/>
    <n v="33"/>
    <n v="4.75"/>
    <m/>
    <n v="31"/>
    <d v="2026-09-09T00:00:00"/>
    <m/>
    <m/>
    <m/>
    <s v="Maybe"/>
    <s v="High"/>
    <s v="Huge guy, very strong, stiff, bigger OTs can handle him, not twitchy, will need better pass rush plans, high potential"/>
  </r>
  <r>
    <x v="6"/>
    <x v="3"/>
    <n v="114"/>
    <s v="Deion Burks"/>
    <x v="39"/>
    <s v="5-9 ¾"/>
    <n v="180"/>
    <s v="9 ½"/>
    <s v="29 ⅜"/>
    <n v="4.3"/>
    <n v="1.49"/>
    <n v="42.5"/>
    <s v="10-11"/>
    <n v="7.21"/>
    <n v="4.22"/>
    <m/>
    <s v="Yes"/>
    <s v="High"/>
    <s v="Very small player but lightning fast and super athletic, playmaker, Tez Johnson type player"/>
  </r>
  <r>
    <x v="1"/>
    <x v="3"/>
    <n v="114"/>
    <s v="Gabe Jacas"/>
    <x v="40"/>
    <s v="6-4"/>
    <n v="260"/>
    <n v="10"/>
    <n v="33"/>
    <m/>
    <m/>
    <m/>
    <m/>
    <m/>
    <m/>
    <n v="30"/>
    <s v="Yes"/>
    <s v="High"/>
    <s v="Big and strong, long arms, some speed but can get overwhelmed by bigger linemen, good motor, very inconsistent"/>
  </r>
  <r>
    <x v="6"/>
    <x v="3"/>
    <n v="115"/>
    <s v="De'Zhaun Stribling"/>
    <x v="41"/>
    <m/>
    <n v="207"/>
    <n v="10"/>
    <s v="31 ⅝"/>
    <n v="4.3600000000000003"/>
    <n v="1.53"/>
    <n v="36"/>
    <s v="10-7"/>
    <m/>
    <m/>
    <m/>
    <s v="Yes"/>
    <s v="Medium"/>
    <s v="Great speed, hands catcher, goes over the middle"/>
  </r>
  <r>
    <x v="8"/>
    <x v="3"/>
    <n v="115"/>
    <s v="Jake Slaughter"/>
    <x v="25"/>
    <s v="6-5"/>
    <n v="303"/>
    <n v="10"/>
    <s v="32⅜"/>
    <n v="5.0999999999999996"/>
    <n v="1.74"/>
    <n v="32.5"/>
    <s v="9-2"/>
    <m/>
    <m/>
    <n v="22"/>
    <s v="Yes"/>
    <s v="Low"/>
    <s v="Plays Center, great mobility, used in screen games, not most powerful"/>
  </r>
  <r>
    <x v="4"/>
    <x v="3"/>
    <n v="115"/>
    <s v="A.J. Haulcy"/>
    <x v="3"/>
    <s v="6-01"/>
    <n v="215"/>
    <s v="9 ¼"/>
    <s v="30 ⅞"/>
    <n v="4.5199999999999996"/>
    <n v="1.62"/>
    <m/>
    <m/>
    <m/>
    <m/>
    <m/>
    <s v="Yes"/>
    <s v="Low"/>
    <s v="Mixes things up, physical player, not very quick in space, smart player though, almost LB, playmaker"/>
  </r>
  <r>
    <x v="2"/>
    <x v="3"/>
    <n v="115"/>
    <s v="J.C. Davis"/>
    <x v="40"/>
    <s v="6-4⅜"/>
    <n v="322"/>
    <s v="10⅛"/>
    <s v="34¼"/>
    <n v="5.16"/>
    <n v="1.78"/>
    <n v="30.5"/>
    <s v="8-3"/>
    <m/>
    <m/>
    <m/>
    <m/>
    <s v="High"/>
    <s v="Big player, powerful IOL, decent feet and agility, strong hands but can't always sustain blocks, prob OG"/>
  </r>
  <r>
    <x v="0"/>
    <x v="3"/>
    <n v="115"/>
    <s v="Jonah Coleman"/>
    <x v="18"/>
    <s v="5-8"/>
    <n v="220"/>
    <s v="9 ⅛"/>
    <s v="28 ⅞"/>
    <m/>
    <m/>
    <m/>
    <m/>
    <m/>
    <m/>
    <n v="22"/>
    <s v="Maybe"/>
    <s v="Medium"/>
    <s v="Not sure he was best back on his own team, short and stocky, good size, a complete back old school"/>
  </r>
  <r>
    <x v="1"/>
    <x v="3"/>
    <n v="115"/>
    <s v="Jaishawn Barham"/>
    <x v="38"/>
    <s v="6-3 ½"/>
    <n v="240"/>
    <s v="10¼"/>
    <s v="34⅛"/>
    <n v="4.6399999999999997"/>
    <n v="1.61"/>
    <n v="33"/>
    <s v="10-3"/>
    <m/>
    <m/>
    <m/>
    <s v="No"/>
    <m/>
    <s v="Long and lean player, some questionable traits, explosive, effort looks hot then cold"/>
  </r>
  <r>
    <x v="8"/>
    <x v="3"/>
    <n v="118"/>
    <s v="Jalen Farmer"/>
    <x v="42"/>
    <s v="6-4⅞"/>
    <n v="312"/>
    <s v="9¼"/>
    <s v="34¼"/>
    <n v="4.93"/>
    <n v="1.75"/>
    <n v="27"/>
    <s v="9-1"/>
    <m/>
    <m/>
    <n v="37"/>
    <m/>
    <s v="Low"/>
    <s v="Good power"/>
  </r>
  <r>
    <x v="8"/>
    <x v="3"/>
    <n v="119"/>
    <s v="Parker Brailsford"/>
    <x v="16"/>
    <s v="6-2"/>
    <n v="289"/>
    <s v="9½"/>
    <n v="32"/>
    <n v="4.95"/>
    <n v="1.7"/>
    <n v="32.5"/>
    <s v="9-10"/>
    <m/>
    <n v="4.72"/>
    <m/>
    <s v="Maybe"/>
    <s v="Medium"/>
    <s v="Center prospect, decent mover"/>
  </r>
  <r>
    <x v="9"/>
    <x v="3"/>
    <n v="120"/>
    <s v="Tim Keenan"/>
    <x v="16"/>
    <s v="6-1"/>
    <n v="327"/>
    <s v="8⅝"/>
    <s v="30½"/>
    <n v="5.31"/>
    <n v="1.84"/>
    <n v="30"/>
    <s v="8-4"/>
    <m/>
    <m/>
    <n v="21"/>
    <s v="Yes"/>
    <s v="Low"/>
    <s v="Huge man at nose, moves well, alpha dog leader on defense, can rush passer"/>
  </r>
  <r>
    <x v="3"/>
    <x v="3"/>
    <n v="120"/>
    <s v="Daylen Everette"/>
    <x v="7"/>
    <s v="6-1"/>
    <n v="179"/>
    <s v="8 ¼"/>
    <s v="31 ⅛"/>
    <n v="4.46"/>
    <n v="1.57"/>
    <n v="31.5"/>
    <s v="9-11"/>
    <m/>
    <m/>
    <m/>
    <s v="Yes"/>
    <s v="Medium"/>
    <s v="Tough, physical, plays in control"/>
  </r>
  <r>
    <x v="7"/>
    <x v="3"/>
    <n v="120"/>
    <s v="Oscar Delp"/>
    <x v="7"/>
    <s v="6-5"/>
    <n v="245"/>
    <s v="9 ½"/>
    <s v="31 ⅝"/>
    <n v="4.49"/>
    <m/>
    <n v="38"/>
    <d v="2026-10-05T00:00:00"/>
    <m/>
    <m/>
    <n v="23"/>
    <s v="No"/>
    <s v="Medium"/>
    <s v="Good overall player for depth, a bit light but receiving threat, mediocre blocker"/>
  </r>
  <r>
    <x v="6"/>
    <x v="3"/>
    <n v="120"/>
    <s v="Antonio Williams"/>
    <x v="10"/>
    <s v="5-11 ½"/>
    <n v="187"/>
    <s v="9 ¼"/>
    <s v="30 ⅝"/>
    <n v="4.41"/>
    <n v="1.55"/>
    <n v="39.5"/>
    <s v="10-4"/>
    <n v="6.76"/>
    <n v="4.0999999999999996"/>
    <m/>
    <s v="Yes"/>
    <s v="High"/>
    <s v="Explosive, willing blocker, returner"/>
  </r>
  <r>
    <x v="10"/>
    <x v="3"/>
    <n v="120"/>
    <s v="Cole Payton"/>
    <x v="36"/>
    <s v="6-2 ⅝"/>
    <n v="232"/>
    <s v="10 ¼"/>
    <s v="31 ⅝"/>
    <n v="4.5599999999999996"/>
    <n v="1.55"/>
    <n v="40"/>
    <s v="10-10"/>
    <n v="7.12"/>
    <n v="4.3600000000000003"/>
    <m/>
    <m/>
    <m/>
    <m/>
  </r>
  <r>
    <x v="2"/>
    <x v="3"/>
    <n v="120"/>
    <s v="Caleb Tiernan"/>
    <x v="43"/>
    <s v="6-8"/>
    <n v="323"/>
    <n v="9"/>
    <s v="32¼"/>
    <m/>
    <m/>
    <n v="35.5"/>
    <s v="9-3"/>
    <n v="8.08"/>
    <n v="4.71"/>
    <m/>
    <m/>
    <s v="Medium"/>
    <s v="Does a job, decent hands, plays tall and not best feet, not most aggressive player"/>
  </r>
  <r>
    <x v="1"/>
    <x v="3"/>
    <n v="120"/>
    <s v="Derrick Moore"/>
    <x v="38"/>
    <s v="6-4"/>
    <n v="255"/>
    <s v="9⅛"/>
    <s v="33⅜"/>
    <m/>
    <m/>
    <n v="30"/>
    <d v="2026-09-07T00:00:00"/>
    <m/>
    <m/>
    <m/>
    <s v="Maybe"/>
    <s v="Medium"/>
    <s v="Strong, long and lean OLB but not quick (good get off), goes back to championship team, high motor, plays too high"/>
  </r>
  <r>
    <x v="8"/>
    <x v="3"/>
    <n v="121"/>
    <s v="Trey Zuhn III"/>
    <x v="9"/>
    <s v="6-6½"/>
    <n v="312"/>
    <n v="10"/>
    <s v="32½"/>
    <m/>
    <m/>
    <m/>
    <m/>
    <m/>
    <m/>
    <m/>
    <s v="Yes"/>
    <s v="Low"/>
    <s v="Good footwork playing LT, like his smarts, grit, not super athletic though, aggressive, poor technique"/>
  </r>
  <r>
    <x v="1"/>
    <x v="3"/>
    <n v="122"/>
    <s v="R Mason Thomas"/>
    <x v="39"/>
    <s v="6-2 ¼"/>
    <n v="241"/>
    <s v="8⅞"/>
    <s v="31⅝"/>
    <n v="4.67"/>
    <n v="1.63"/>
    <n v="34"/>
    <d v="2026-09-11T00:00:00"/>
    <n v="7.4"/>
    <m/>
    <m/>
    <s v="No"/>
    <s v="Low"/>
    <s v="Top pass rusher for OK, smallish arms, not best testing, strong, good bull rush, boom or bust player"/>
  </r>
  <r>
    <x v="6"/>
    <x v="3"/>
    <n v="123"/>
    <s v="Germie Bernard"/>
    <x v="16"/>
    <s v="6-1¼"/>
    <n v="206"/>
    <s v="9 ⅞"/>
    <s v="30 ⅜"/>
    <n v="4.45"/>
    <n v="1.52"/>
    <n v="32.5"/>
    <s v="10-5"/>
    <n v="6.71"/>
    <n v="4.3099999999999996"/>
    <m/>
    <s v="Maybe"/>
    <s v="Medium"/>
    <s v="Quick and twitchy WR"/>
  </r>
  <r>
    <x v="1"/>
    <x v="3"/>
    <n v="124"/>
    <s v="Keyron Crawford"/>
    <x v="14"/>
    <s v="6-4"/>
    <n v="253"/>
    <n v="9"/>
    <n v="32"/>
    <m/>
    <m/>
    <m/>
    <m/>
    <m/>
    <m/>
    <m/>
    <m/>
    <s v="Low"/>
    <s v="Explosive w/strong hands, can rush or play off line, weak in run game"/>
  </r>
  <r>
    <x v="9"/>
    <x v="3"/>
    <n v="125"/>
    <s v="Brandon Cleveland"/>
    <x v="44"/>
    <s v="6-3"/>
    <n v="307"/>
    <s v="9¼"/>
    <s v="32⅜"/>
    <n v="5.12"/>
    <n v="1.78"/>
    <m/>
    <m/>
    <m/>
    <m/>
    <n v="37"/>
    <s v="Yes"/>
    <s v="Medium"/>
    <s v="Stays square, violent hands, anchors very well against double teams, strong despite weight, 2 down NT"/>
  </r>
  <r>
    <x v="3"/>
    <x v="3"/>
    <n v="125"/>
    <s v="Ephesians Prysock"/>
    <x v="18"/>
    <s v="6-3 ⅜"/>
    <n v="193"/>
    <s v="9 ⅞"/>
    <s v="30 ⅝"/>
    <n v="4.4000000000000004"/>
    <n v="1.54"/>
    <n v="38"/>
    <s v="10-6"/>
    <n v="6.82"/>
    <n v="4.1500000000000004"/>
    <n v="17"/>
    <s v="Yes"/>
    <s v="High"/>
    <s v="Long player, plays physical, has decent speeed and agility, lots of upside"/>
  </r>
  <r>
    <x v="6"/>
    <x v="3"/>
    <n v="125"/>
    <s v="Ja'Kobi Lane"/>
    <x v="11"/>
    <s v="6-4 ⅜"/>
    <n v="200"/>
    <s v="10 ½"/>
    <s v="32 ⅝"/>
    <n v="4.47"/>
    <n v="1.58"/>
    <n v="40"/>
    <s v="10-9"/>
    <m/>
    <m/>
    <m/>
    <m/>
    <s v="Medium"/>
    <m/>
  </r>
  <r>
    <x v="8"/>
    <x v="3"/>
    <n v="125"/>
    <s v="Brian Parker II"/>
    <x v="28"/>
    <s v="6-5¼"/>
    <n v="309"/>
    <n v="10"/>
    <s v="32⅞"/>
    <n v="5.14"/>
    <n v="1.78"/>
    <m/>
    <s v="9-1"/>
    <m/>
    <n v="4.8"/>
    <m/>
    <m/>
    <s v="Low"/>
    <m/>
  </r>
  <r>
    <x v="1"/>
    <x v="3"/>
    <n v="126"/>
    <s v="Marvin Jones Jr."/>
    <x v="39"/>
    <s v="6-5"/>
    <n v="245"/>
    <s v="9¼"/>
    <s v="33⅛"/>
    <n v="4.6900000000000004"/>
    <n v="1.65"/>
    <n v="34.5"/>
    <m/>
    <n v="7.44"/>
    <n v="4.42"/>
    <m/>
    <s v="Yes"/>
    <s v="Medium"/>
    <s v="Good length, moves better than his measurables show"/>
  </r>
  <r>
    <x v="9"/>
    <x v="3"/>
    <n v="130"/>
    <s v="Chris McClellan"/>
    <x v="31"/>
    <s v="6-4"/>
    <n v="313"/>
    <n v="11"/>
    <n v="34"/>
    <n v="5.05"/>
    <n v="1.8"/>
    <n v="29.5"/>
    <s v="9-1"/>
    <n v="8.18"/>
    <n v="5"/>
    <n v="25"/>
    <m/>
    <s v="High"/>
    <s v="Long arms, strong hands, decent athlete, hot and cold effort, raw pass rusher, some versatility"/>
  </r>
  <r>
    <x v="0"/>
    <x v="3"/>
    <n v="130"/>
    <s v="Nicholas Singleton"/>
    <x v="13"/>
    <s v="6-01"/>
    <n v="219"/>
    <s v="9 ⅜"/>
    <n v="31"/>
    <m/>
    <m/>
    <m/>
    <m/>
    <m/>
    <m/>
    <n v="25"/>
    <s v="Yes"/>
    <s v="Medium"/>
    <s v="Great production in 2024, good back that could pop, boom/bust potential."/>
  </r>
  <r>
    <x v="10"/>
    <x v="3"/>
    <n v="130"/>
    <s v="Garrett Nussmeier"/>
    <x v="3"/>
    <s v="6-2"/>
    <n v="203"/>
    <s v="9 ⅛"/>
    <s v="30 ⅜"/>
    <m/>
    <m/>
    <m/>
    <m/>
    <m/>
    <m/>
    <m/>
    <m/>
    <m/>
    <m/>
  </r>
  <r>
    <x v="7"/>
    <x v="3"/>
    <n v="130"/>
    <s v="Michael Trigg"/>
    <x v="45"/>
    <s v="6-3 ¾"/>
    <n v="240"/>
    <s v="10 ½"/>
    <s v="34 ¼"/>
    <m/>
    <m/>
    <n v="27.5"/>
    <m/>
    <m/>
    <m/>
    <m/>
    <m/>
    <s v="Low"/>
    <s v="Mackey Award finalist"/>
  </r>
  <r>
    <x v="3"/>
    <x v="3"/>
    <n v="130"/>
    <s v="Jadon Canady"/>
    <x v="8"/>
    <s v="5-10 ½"/>
    <n v="188"/>
    <n v="9"/>
    <s v="31 ¼"/>
    <n v="4.47"/>
    <m/>
    <n v="37.5"/>
    <d v="2026-10-07T00:00:00"/>
    <m/>
    <n v="4.21"/>
    <n v="14"/>
    <s v="Yes"/>
    <s v="Medium"/>
    <s v="Smaller CB but has good instincts and decent range overcoming his size, may play safety in NFL"/>
  </r>
  <r>
    <x v="9"/>
    <x v="3"/>
    <n v="132"/>
    <s v="Lee Hunter"/>
    <x v="5"/>
    <s v="6-3 ½"/>
    <n v="318"/>
    <s v="9¼"/>
    <s v="33¼"/>
    <n v="5.18"/>
    <n v="1.79"/>
    <n v="21.5"/>
    <s v="8-4"/>
    <m/>
    <m/>
    <m/>
    <s v="Maybe"/>
    <s v="Low"/>
    <s v="Big physical long arms, good power, high motor, takes on double teams well, odd body shape, lacking athleticism"/>
  </r>
  <r>
    <x v="3"/>
    <x v="3"/>
    <n v="132"/>
    <s v="Malik Muhammad"/>
    <x v="24"/>
    <s v="6-01"/>
    <n v="196"/>
    <s v="9 ⅝"/>
    <s v="31 ⅞"/>
    <n v="4.38"/>
    <n v="1.54"/>
    <n v="37.5"/>
    <s v="10-4"/>
    <m/>
    <m/>
    <m/>
    <s v="Yes"/>
    <m/>
    <s v="Willing tackler, long and lean, great speed, read react downhill"/>
  </r>
  <r>
    <x v="9"/>
    <x v="3"/>
    <n v="134"/>
    <s v="Zane Durant"/>
    <x v="13"/>
    <s v="6-1"/>
    <n v="290"/>
    <s v="10⅝"/>
    <s v="31⅞"/>
    <n v="4.75"/>
    <n v="1.66"/>
    <n v="33.5"/>
    <s v="9-4"/>
    <m/>
    <m/>
    <m/>
    <s v="Yes"/>
    <s v="High"/>
    <s v="Quick-twitch interior DT, strength is penetration, can't anchor at his size, elite speed, poor length and size for DT"/>
  </r>
  <r>
    <x v="0"/>
    <x v="3"/>
    <n v="135"/>
    <s v="Seth McGowan"/>
    <x v="42"/>
    <s v="6-0 ¼"/>
    <n v="223"/>
    <s v="8 ¾"/>
    <s v="31 ⅜"/>
    <n v="4.49"/>
    <n v="1.6"/>
    <n v="42.5"/>
    <s v="10-11"/>
    <m/>
    <n v="4.4000000000000004"/>
    <m/>
    <m/>
    <s v="High"/>
    <m/>
  </r>
  <r>
    <x v="3"/>
    <x v="3"/>
    <n v="135"/>
    <s v="Chandler Rivers"/>
    <x v="28"/>
    <s v="5-9 ½"/>
    <n v="194"/>
    <s v="9 ⅛"/>
    <s v="31 ⅛"/>
    <n v="4.41"/>
    <n v="1.58"/>
    <m/>
    <m/>
    <m/>
    <m/>
    <m/>
    <s v="Yes"/>
    <m/>
    <m/>
  </r>
  <r>
    <x v="3"/>
    <x v="3"/>
    <n v="138"/>
    <s v="Julian Neal"/>
    <x v="29"/>
    <s v="6-2"/>
    <n v="195"/>
    <n v="10"/>
    <s v="31 ⅛"/>
    <m/>
    <m/>
    <n v="39.5"/>
    <s v="10-5"/>
    <n v="6.9"/>
    <n v="4.29"/>
    <m/>
    <s v="Yes"/>
    <m/>
    <s v="Decent size and athleticism, can be grabby but solid CB. Would be good UDFA pickup, good ST player."/>
  </r>
  <r>
    <x v="9"/>
    <x v="3"/>
    <n v="140"/>
    <s v="Gracen Halton"/>
    <x v="39"/>
    <s v="6-2 ⅝"/>
    <n v="293"/>
    <n v="10"/>
    <s v="31⅛"/>
    <n v="4.82"/>
    <n v="1.7"/>
    <n v="36.5"/>
    <s v="9-6"/>
    <n v="8.09"/>
    <n v="4.79"/>
    <n v="25"/>
    <s v="No"/>
    <s v="High"/>
    <s v="Good athleticism, more of a penetrator, short arms impact play, backup, gets pushed back in run game, high effort guy"/>
  </r>
  <r>
    <x v="9"/>
    <x v="3"/>
    <n v="143"/>
    <s v="Dontay Corleone"/>
    <x v="46"/>
    <s v="6-0 ⅝"/>
    <n v="340"/>
    <s v="9½"/>
    <s v="31⅞"/>
    <m/>
    <m/>
    <m/>
    <m/>
    <m/>
    <m/>
    <m/>
    <s v="Yes"/>
    <s v="Low"/>
    <s v="Huge man who can anchor and push the pocket, very strong, plays over C, not sure about athleticism, no pass rush"/>
  </r>
  <r>
    <x v="7"/>
    <x v="3"/>
    <n v="145"/>
    <s v="Marlin Klein"/>
    <x v="38"/>
    <s v="6-6"/>
    <n v="248"/>
    <s v="9 ¼"/>
    <s v="32 ⅜"/>
    <n v="4.6100000000000003"/>
    <n v="1.64"/>
    <n v="36"/>
    <s v="9-9"/>
    <m/>
    <m/>
    <m/>
    <s v="Maybe"/>
    <s v="Medium"/>
    <s v="Big frame, middling explosion, captain, good blocker and pass catcher, hands catcher"/>
  </r>
  <r>
    <x v="5"/>
    <x v="4"/>
    <n v="115"/>
    <s v="Jake Golday"/>
    <x v="46"/>
    <s v="6-4 ½"/>
    <n v="239"/>
    <s v="9½"/>
    <s v="31⅞"/>
    <n v="4.62"/>
    <n v="1.6"/>
    <n v="39"/>
    <s v="10-5"/>
    <n v="7.02"/>
    <n v="4.34"/>
    <n v="22"/>
    <m/>
    <s v="High"/>
    <m/>
  </r>
  <r>
    <x v="5"/>
    <x v="4"/>
    <n v="120"/>
    <s v="Bryce Boettcher"/>
    <x v="8"/>
    <s v="6-1"/>
    <n v="233"/>
    <n v="9"/>
    <s v="30⅝"/>
    <n v="4.6900000000000004"/>
    <m/>
    <n v="34.5"/>
    <d v="2026-09-08T00:00:00"/>
    <n v="7.25"/>
    <n v="4.3"/>
    <n v="21"/>
    <s v="Yes"/>
    <s v="Low"/>
    <s v="Good tackler, team leader, mixes it upp"/>
  </r>
  <r>
    <x v="5"/>
    <x v="4"/>
    <n v="125"/>
    <s v="Keyshaun Elliott"/>
    <x v="12"/>
    <s v="6-2"/>
    <n v="231"/>
    <s v="9¼"/>
    <s v="31¼"/>
    <m/>
    <m/>
    <n v="38"/>
    <s v="10-5"/>
    <m/>
    <m/>
    <n v="21"/>
    <s v="Maybe"/>
    <s v="Medium"/>
    <s v="Nothing special, plays somewhat physical, great against the run, played edge, not most athletic (short area explosive though)"/>
  </r>
  <r>
    <x v="4"/>
    <x v="4"/>
    <n v="135"/>
    <s v="Genesis Smith"/>
    <x v="30"/>
    <s v="6-2 ⅛"/>
    <n v="202"/>
    <s v="8 ⅞"/>
    <s v="32 ½"/>
    <n v="4.5"/>
    <m/>
    <n v="42.5"/>
    <s v="10-8"/>
    <n v="7.06"/>
    <n v="4.18"/>
    <n v="16"/>
    <s v="No"/>
    <s v="High"/>
    <s v="More FS, good range, not best/most physical tackler"/>
  </r>
  <r>
    <x v="2"/>
    <x v="4"/>
    <n v="140"/>
    <s v="Kage Casey"/>
    <x v="47"/>
    <s v="6-6"/>
    <n v="310"/>
    <s v="10¼"/>
    <s v="32¾"/>
    <n v="5.2"/>
    <n v="1.85"/>
    <m/>
    <m/>
    <n v="8.01"/>
    <m/>
    <m/>
    <m/>
    <s v="Medium"/>
    <s v="Potential OG, somewhat stiff, powerful, drive blocker, stiff legged, prob an OG"/>
  </r>
  <r>
    <x v="3"/>
    <x v="4"/>
    <n v="140"/>
    <s v="TJ Hall"/>
    <x v="19"/>
    <s v="6-1"/>
    <n v="193"/>
    <n v="9"/>
    <s v="31 ⅜"/>
    <n v="4.4400000000000004"/>
    <n v="1.58"/>
    <n v="40.5"/>
    <s v="10-5"/>
    <n v="6.75"/>
    <n v="4.12"/>
    <m/>
    <s v="Yes"/>
    <s v="High"/>
    <s v="Quick and fast, good attitude, comes downhill fast, they asked him to set the edge"/>
  </r>
  <r>
    <x v="8"/>
    <x v="4"/>
    <n v="142"/>
    <s v="Billy Schrauth"/>
    <x v="0"/>
    <s v="6-5"/>
    <n v="310"/>
    <s v="10¼"/>
    <s v="32⅞"/>
    <m/>
    <m/>
    <m/>
    <m/>
    <m/>
    <m/>
    <m/>
    <m/>
    <s v="Low"/>
    <m/>
  </r>
  <r>
    <x v="9"/>
    <x v="4"/>
    <n v="145"/>
    <s v="Rayshaun Benny"/>
    <x v="38"/>
    <s v="6-3"/>
    <n v="298"/>
    <s v="9¼"/>
    <s v="33⅜"/>
    <m/>
    <m/>
    <m/>
    <m/>
    <n v="7.69"/>
    <n v="4.8899999999999997"/>
    <m/>
    <s v="No"/>
    <s v="Medium"/>
    <s v="Decent size, decent power, stoutish run defense, strong hands, good length, can get tall, 3 tech run defender"/>
  </r>
  <r>
    <x v="9"/>
    <x v="4"/>
    <n v="145"/>
    <s v="Skyler Gill-Howard"/>
    <x v="5"/>
    <s v="6-1"/>
    <n v="280"/>
    <s v="9¼"/>
    <s v="30⅝"/>
    <m/>
    <m/>
    <m/>
    <m/>
    <m/>
    <m/>
    <n v="27"/>
    <m/>
    <s v="Medium"/>
    <s v="Sudden and explosive, high motor, good pass rush plan, smallish frame impacts run defense, pass rushing 3 tech"/>
  </r>
  <r>
    <x v="3"/>
    <x v="4"/>
    <n v="145"/>
    <s v="Tacario Davis"/>
    <x v="18"/>
    <s v="6-3 ⅞"/>
    <n v="185"/>
    <s v="9 ¾"/>
    <s v="29 ⅜"/>
    <n v="4.4000000000000004"/>
    <n v="1.55"/>
    <n v="39"/>
    <s v="10-10"/>
    <m/>
    <m/>
    <m/>
    <m/>
    <m/>
    <m/>
  </r>
  <r>
    <x v="6"/>
    <x v="4"/>
    <n v="145"/>
    <s v="Ted Hurst"/>
    <x v="48"/>
    <s v="6-3 ⅞"/>
    <n v="206"/>
    <s v="9 ⅝"/>
    <s v="32 ⅝"/>
    <n v="4.42"/>
    <n v="1.55"/>
    <n v="36.5"/>
    <s v="11-3"/>
    <m/>
    <m/>
    <m/>
    <m/>
    <s v="Medium"/>
    <m/>
  </r>
  <r>
    <x v="4"/>
    <x v="4"/>
    <n v="145"/>
    <s v="Bishop Fitzgerald"/>
    <x v="11"/>
    <s v="5-11"/>
    <n v="201"/>
    <s v="9 ½"/>
    <s v="31 ¼"/>
    <n v="4.55"/>
    <n v="1.58"/>
    <n v="33"/>
    <m/>
    <n v="6.99"/>
    <n v="4.2300000000000004"/>
    <n v="12"/>
    <s v="Maybe"/>
    <s v="Medium"/>
    <s v="Good instincts, not super athletic, lacks deep speed, playmaker"/>
  </r>
  <r>
    <x v="10"/>
    <x v="4"/>
    <n v="145"/>
    <s v="Joey Aguilar"/>
    <x v="6"/>
    <s v="6-3"/>
    <n v="229"/>
    <s v="9 ⅝"/>
    <s v="31 ¾"/>
    <m/>
    <m/>
    <m/>
    <m/>
    <m/>
    <m/>
    <m/>
    <m/>
    <m/>
    <s v="Good field general, led a great offense that was schemed up well"/>
  </r>
  <r>
    <x v="10"/>
    <x v="4"/>
    <n v="150"/>
    <s v="Drew Allar"/>
    <x v="13"/>
    <s v="6-5 ¼"/>
    <n v="228"/>
    <s v="9 ⅞"/>
    <s v="32 ¾"/>
    <m/>
    <m/>
    <m/>
    <m/>
    <m/>
    <m/>
    <m/>
    <m/>
    <m/>
    <m/>
  </r>
  <r>
    <x v="6"/>
    <x v="4"/>
    <n v="150"/>
    <s v="Elijah Sarratt"/>
    <x v="15"/>
    <s v="6-2 ½"/>
    <n v="210"/>
    <n v="10"/>
    <s v="31 ¼"/>
    <m/>
    <m/>
    <m/>
    <m/>
    <m/>
    <m/>
    <m/>
    <s v="No"/>
    <s v="Low"/>
    <s v="Bigger IU WR, gets open, another Mendoza favorite"/>
  </r>
  <r>
    <x v="3"/>
    <x v="4"/>
    <n v="150"/>
    <s v="Charles Demmings"/>
    <x v="49"/>
    <s v="6-1"/>
    <n v="185"/>
    <s v="9 ⅜"/>
    <s v="30 ⅜"/>
    <m/>
    <m/>
    <m/>
    <m/>
    <n v="7.28"/>
    <n v="4.25"/>
    <n v="15"/>
    <m/>
    <m/>
    <m/>
  </r>
  <r>
    <x v="10"/>
    <x v="4"/>
    <n v="150"/>
    <s v="Cade Klubnik"/>
    <x v="10"/>
    <s v="6-2"/>
    <n v="207"/>
    <s v="9 ¼"/>
    <s v="31 ⅛"/>
    <m/>
    <m/>
    <m/>
    <m/>
    <m/>
    <m/>
    <m/>
    <m/>
    <m/>
    <m/>
  </r>
  <r>
    <x v="8"/>
    <x v="4"/>
    <n v="150"/>
    <s v="Alex Harkey"/>
    <x v="8"/>
    <s v="6-6"/>
    <n v="308"/>
    <s v="10⅛"/>
    <s v="31¾"/>
    <n v="5.2"/>
    <m/>
    <n v="31"/>
    <d v="2026-08-03T00:00:00"/>
    <n v="7.69"/>
    <n v="4.9000000000000004"/>
    <n v="21"/>
    <m/>
    <s v="Low"/>
    <s v="Can play OT (not sure how well)"/>
  </r>
  <r>
    <x v="5"/>
    <x v="4"/>
    <n v="150"/>
    <s v="Jack Kelly"/>
    <x v="50"/>
    <s v="6-2"/>
    <n v="240"/>
    <s v="9⅛"/>
    <s v="31⅛"/>
    <n v="4.57"/>
    <n v="1.61"/>
    <n v="37"/>
    <s v="10-5"/>
    <n v="7.12"/>
    <n v="4.1900000000000004"/>
    <n v="19"/>
    <m/>
    <s v="High"/>
    <m/>
  </r>
  <r>
    <x v="8"/>
    <x v="4"/>
    <n v="151"/>
    <s v="Micah Morris"/>
    <x v="7"/>
    <s v="6-5¼"/>
    <n v="334"/>
    <s v="10⅜"/>
    <s v="33⅝"/>
    <n v="5.09"/>
    <n v="1.73"/>
    <n v="29.5"/>
    <s v="9-4"/>
    <m/>
    <m/>
    <m/>
    <s v="Yes"/>
    <s v="Low"/>
    <s v="Very solid guard, physical, can move, doesn't get bull rushed, powerful, gap/duo scheme great fit"/>
  </r>
  <r>
    <x v="8"/>
    <x v="4"/>
    <n v="152"/>
    <s v="Connor Lew"/>
    <x v="14"/>
    <s v="6-3⅜"/>
    <n v="310"/>
    <n v="9"/>
    <s v="32⅜"/>
    <m/>
    <m/>
    <m/>
    <m/>
    <m/>
    <m/>
    <m/>
    <m/>
    <s v="Low"/>
    <m/>
  </r>
  <r>
    <x v="8"/>
    <x v="4"/>
    <n v="154"/>
    <s v="Jeremiah Wright"/>
    <x v="14"/>
    <s v="6-5"/>
    <n v="306"/>
    <s v="10¼"/>
    <s v="34½"/>
    <m/>
    <m/>
    <m/>
    <m/>
    <m/>
    <m/>
    <m/>
    <m/>
    <m/>
    <m/>
  </r>
  <r>
    <x v="9"/>
    <x v="4"/>
    <n v="155"/>
    <s v="DeMonte Capehart"/>
    <x v="10"/>
    <s v="6-5"/>
    <n v="313"/>
    <s v="10¼"/>
    <s v="33⅞"/>
    <n v="4.8499999999999996"/>
    <n v="1.72"/>
    <n v="33.5"/>
    <s v="8-11"/>
    <m/>
    <m/>
    <m/>
    <s v="Yes"/>
    <s v="Medium"/>
    <s v="Big man who can move, sheds blocks"/>
  </r>
  <r>
    <x v="2"/>
    <x v="4"/>
    <n v="155"/>
    <s v="Alan Herron"/>
    <x v="51"/>
    <s v="6-5¼"/>
    <n v="308"/>
    <s v="9⅛"/>
    <s v="33⅛"/>
    <n v="5.09"/>
    <n v="1.84"/>
    <n v="32"/>
    <m/>
    <n v="8.1999999999999993"/>
    <n v="5.09"/>
    <m/>
    <m/>
    <s v="Low"/>
    <m/>
  </r>
  <r>
    <x v="6"/>
    <x v="4"/>
    <n v="155"/>
    <s v="Barion Brown"/>
    <x v="3"/>
    <m/>
    <n v="177"/>
    <n v="9"/>
    <s v="31 ½"/>
    <n v="4.4000000000000004"/>
    <n v="1.62"/>
    <m/>
    <m/>
    <m/>
    <m/>
    <m/>
    <s v="Maybe"/>
    <s v="Medium"/>
    <s v="Long speed, light frame, a main target for LSU, not sure about short area quickness, tough player"/>
  </r>
  <r>
    <x v="8"/>
    <x v="4"/>
    <n v="155"/>
    <s v="Sam Hecht"/>
    <x v="52"/>
    <s v="6-4⅛"/>
    <n v="303"/>
    <s v="9⅞"/>
    <s v="31⅝"/>
    <n v="5.0999999999999996"/>
    <n v="1.73"/>
    <n v="28"/>
    <s v="8-5"/>
    <n v="7.75"/>
    <n v="4.71"/>
    <n v="20"/>
    <m/>
    <s v="Low"/>
    <m/>
  </r>
  <r>
    <x v="5"/>
    <x v="4"/>
    <n v="155"/>
    <s v="Karson Sharar"/>
    <x v="19"/>
    <s v="6-1 ⅝"/>
    <n v="231"/>
    <s v="10⅛"/>
    <s v="31⅛"/>
    <n v="4.5599999999999996"/>
    <n v="1.59"/>
    <n v="40"/>
    <s v="10-3"/>
    <n v="6.98"/>
    <n v="4.2"/>
    <m/>
    <s v="Yes"/>
    <s v="High"/>
    <s v="Good measurables, stays square"/>
  </r>
  <r>
    <x v="5"/>
    <x v="4"/>
    <n v="155"/>
    <s v="Red Murdock"/>
    <x v="53"/>
    <s v="6-2"/>
    <n v="232"/>
    <s v="10⅜"/>
    <n v="31"/>
    <m/>
    <m/>
    <m/>
    <m/>
    <m/>
    <m/>
    <m/>
    <m/>
    <m/>
    <s v="Very physical, good instincts"/>
  </r>
  <r>
    <x v="1"/>
    <x v="4"/>
    <n v="155"/>
    <s v="Mason Reiger"/>
    <x v="54"/>
    <s v="6-5"/>
    <n v="251"/>
    <s v="10⅜"/>
    <s v="32⅝"/>
    <n v="4.78"/>
    <n v="1.61"/>
    <n v="40"/>
    <s v="10-5"/>
    <m/>
    <m/>
    <m/>
    <m/>
    <s v="Medium"/>
    <s v="Good hand usage, decent athlete, twitchy, weak against run gamee"/>
  </r>
  <r>
    <x v="6"/>
    <x v="4"/>
    <n v="159"/>
    <s v="Vinny Anthony II"/>
    <x v="54"/>
    <m/>
    <n v="183"/>
    <s v="9 ⅛"/>
    <s v="31 ⅛"/>
    <n v="4.54"/>
    <n v="1.59"/>
    <n v="34.5"/>
    <d v="2026-09-07T00:00:00"/>
    <n v="6.86"/>
    <n v="4.07"/>
    <m/>
    <m/>
    <s v="Medium"/>
    <m/>
  </r>
  <r>
    <x v="7"/>
    <x v="4"/>
    <n v="159"/>
    <s v="Jack Endries"/>
    <x v="24"/>
    <s v="6-4 ⅝"/>
    <n v="245"/>
    <s v="9 ⅝"/>
    <s v="31 ⅛"/>
    <n v="4.62"/>
    <n v="1.59"/>
    <n v="36"/>
    <s v="9-11"/>
    <m/>
    <m/>
    <m/>
    <m/>
    <s v="Medium"/>
    <m/>
  </r>
  <r>
    <x v="9"/>
    <x v="4"/>
    <n v="160"/>
    <s v="Domonique Orange"/>
    <x v="55"/>
    <s v="6-2"/>
    <n v="322"/>
    <s v="10¼"/>
    <s v="33⅜"/>
    <m/>
    <m/>
    <m/>
    <m/>
    <m/>
    <m/>
    <m/>
    <s v="Yes"/>
    <s v="Low"/>
    <s v="Classic NT over C, heavy hands and powerful anchor, great motor to the ball, size/strength/base, not athletic"/>
  </r>
  <r>
    <x v="9"/>
    <x v="4"/>
    <n v="160"/>
    <s v="Darrell Jackson Jr."/>
    <x v="56"/>
    <s v="6-5 ⅝"/>
    <n v="315"/>
    <n v="11"/>
    <s v="34¾"/>
    <m/>
    <m/>
    <m/>
    <m/>
    <m/>
    <m/>
    <m/>
    <s v="Yes"/>
    <s v="Low"/>
    <s v="Classic 2-gapping NT with long amrs and huge hands, stacks and sheds, pretty much no pass rush"/>
  </r>
  <r>
    <x v="0"/>
    <x v="4"/>
    <n v="160"/>
    <s v="Demond Claiborne"/>
    <x v="57"/>
    <s v="5-9 ¾"/>
    <n v="188"/>
    <n v="9"/>
    <s v="30 ⅛"/>
    <n v="4.37"/>
    <n v="1.59"/>
    <m/>
    <s v="10-2"/>
    <m/>
    <m/>
    <m/>
    <m/>
    <s v="High"/>
    <s v="Great COD, very small RB, not bad contact balance, fumbled a lot, explosive runner is what he can do though"/>
  </r>
  <r>
    <x v="6"/>
    <x v="4"/>
    <n v="160"/>
    <s v="Kaden Wetjen"/>
    <x v="19"/>
    <s v="5-9"/>
    <n v="193"/>
    <s v="8 ½"/>
    <s v="29 ⅝"/>
    <n v="4.47"/>
    <n v="1.58"/>
    <n v="35.5"/>
    <d v="2026-09-02T00:00:00"/>
    <n v="7.35"/>
    <n v="4.45"/>
    <m/>
    <s v="Yes"/>
    <s v="Medium"/>
    <s v="Electric player, chess piece, ST, does everything, Tez Johnson type"/>
  </r>
  <r>
    <x v="6"/>
    <x v="4"/>
    <n v="160"/>
    <s v="Malachi Fields"/>
    <x v="0"/>
    <s v="6-4 ½"/>
    <n v="218"/>
    <n v="9"/>
    <s v="32 ⅛"/>
    <n v="4.6100000000000003"/>
    <n v="1.63"/>
    <n v="38"/>
    <s v="10-4"/>
    <n v="6.98"/>
    <n v="4.3499999999999996"/>
    <m/>
    <m/>
    <m/>
    <m/>
  </r>
  <r>
    <x v="6"/>
    <x v="4"/>
    <n v="160"/>
    <s v="Eric McAlister"/>
    <x v="27"/>
    <m/>
    <n v="194"/>
    <s v="9 ⅝"/>
    <s v="32 ⅝"/>
    <m/>
    <m/>
    <m/>
    <m/>
    <m/>
    <m/>
    <m/>
    <m/>
    <m/>
    <m/>
  </r>
  <r>
    <x v="10"/>
    <x v="4"/>
    <n v="160"/>
    <s v="Carson Beck"/>
    <x v="1"/>
    <s v="6-4 ¾"/>
    <n v="233"/>
    <n v="10"/>
    <s v="30 ⅝"/>
    <m/>
    <m/>
    <m/>
    <m/>
    <m/>
    <m/>
    <m/>
    <s v="No"/>
    <m/>
    <s v="Veteran CFB QB"/>
  </r>
  <r>
    <x v="5"/>
    <x v="4"/>
    <n v="160"/>
    <s v="Deontae Lawson"/>
    <x v="16"/>
    <s v="6-3"/>
    <n v="226"/>
    <s v="9¼"/>
    <s v="31⅞"/>
    <m/>
    <m/>
    <m/>
    <m/>
    <m/>
    <m/>
    <m/>
    <m/>
    <s v="Medium"/>
    <s v="Decent athlete, lack of instincts, gets caught up in trash, slow processor"/>
  </r>
  <r>
    <x v="1"/>
    <x v="4"/>
    <n v="160"/>
    <s v="Nadame Tucker"/>
    <x v="58"/>
    <s v="6-2"/>
    <n v="247"/>
    <n v="9"/>
    <s v="31⅜"/>
    <n v="4.7300000000000004"/>
    <n v="1.63"/>
    <n v="33.5"/>
    <s v="9-11"/>
    <n v="7.44"/>
    <n v="4.68"/>
    <n v="22"/>
    <m/>
    <s v="Medium"/>
    <s v="Explosive, good speed, bendy, strong hands, didn't play against great teams"/>
  </r>
  <r>
    <x v="9"/>
    <x v="4"/>
    <n v="161"/>
    <s v="Albert Regis"/>
    <x v="9"/>
    <s v="6-1"/>
    <n v="295"/>
    <s v="9⅝"/>
    <s v="31⅝"/>
    <n v="4.88"/>
    <n v="1.72"/>
    <n v="34"/>
    <s v="9-8"/>
    <n v="7.77"/>
    <n v="4.8499999999999996"/>
    <m/>
    <m/>
    <m/>
    <s v="Good run defender, strong leverage and hands, weak against doubles, not much pass rush, shorter arms, run stopping 1/3 tech"/>
  </r>
  <r>
    <x v="0"/>
    <x v="4"/>
    <n v="161"/>
    <s v="Le'Veon Moss"/>
    <x v="9"/>
    <s v="5-11"/>
    <n v="203"/>
    <s v="9 ½"/>
    <n v="31"/>
    <m/>
    <m/>
    <m/>
    <m/>
    <m/>
    <m/>
    <m/>
    <m/>
    <s v="Medium"/>
    <s v="Explosive, good vision/patience, north/south runner, good runner but not very well-rounded"/>
  </r>
  <r>
    <x v="0"/>
    <x v="4"/>
    <n v="162"/>
    <s v="CJ Donaldson"/>
    <x v="4"/>
    <s v="6-2"/>
    <n v="230"/>
    <s v="9 ½"/>
    <s v="31 ¾"/>
    <m/>
    <m/>
    <m/>
    <m/>
    <m/>
    <m/>
    <m/>
    <s v="Yes"/>
    <s v="Low"/>
    <s v="Big bruiser, good vision, decent blocker, classic power back, very physical, yes please."/>
  </r>
  <r>
    <x v="0"/>
    <x v="4"/>
    <n v="162"/>
    <s v="Adam Randall"/>
    <x v="10"/>
    <s v="6-3 ⅜"/>
    <n v="232"/>
    <s v="9 ⅝"/>
    <s v="32 ⅜"/>
    <n v="4.5"/>
    <n v="1.6"/>
    <n v="37"/>
    <s v="10-4"/>
    <m/>
    <n v="4.53"/>
    <n v="26"/>
    <s v="Yes"/>
    <s v="Medium"/>
    <s v="Big powerful back, Derrick Henry lite, patient, falls forward, not the best hands"/>
  </r>
  <r>
    <x v="9"/>
    <x v="4"/>
    <n v="165"/>
    <s v="Zxavian Harris"/>
    <x v="41"/>
    <s v="6-8"/>
    <n v="330"/>
    <n v="10"/>
    <s v="34⅝"/>
    <m/>
    <m/>
    <m/>
    <m/>
    <m/>
    <m/>
    <m/>
    <s v="No"/>
    <s v="High"/>
    <s v="Huge man who moves surprisingly well for his size, more of a penetrator than anchor, good bull rush, bats balls down, project"/>
  </r>
  <r>
    <x v="1"/>
    <x v="4"/>
    <n v="165"/>
    <s v="Trey Moore"/>
    <x v="24"/>
    <s v="6-2"/>
    <n v="243"/>
    <s v="10½"/>
    <s v="31⅝"/>
    <n v="4.54"/>
    <n v="1.6"/>
    <n v="38.5"/>
    <s v="10-1"/>
    <m/>
    <n v="4.43"/>
    <m/>
    <m/>
    <m/>
    <s v="Twitchy without elite burst, violent tackler, should be edge player full time"/>
  </r>
  <r>
    <x v="9"/>
    <x v="4"/>
    <n v="165"/>
    <s v="Damonic Williams"/>
    <x v="39"/>
    <s v="6-2"/>
    <n v="305"/>
    <n v="10"/>
    <s v="33⅛"/>
    <m/>
    <m/>
    <m/>
    <d v="2026-08-04T00:00:00"/>
    <m/>
    <n v="4.96"/>
    <n v="30"/>
    <s v="Yes"/>
    <s v="Low"/>
    <s v="Good length, saw nice trap move, does dirty work inside, strong effort"/>
  </r>
  <r>
    <x v="0"/>
    <x v="4"/>
    <n v="170"/>
    <s v="Jaydn Ott"/>
    <x v="39"/>
    <s v="5-11"/>
    <n v="198"/>
    <m/>
    <m/>
    <n v="4.46"/>
    <m/>
    <n v="40.5"/>
    <s v="10-11"/>
    <n v="7.06"/>
    <n v="4.24"/>
    <n v="16"/>
    <s v="No"/>
    <s v="High"/>
    <s v="Athletic player, didn't play much in 2025 for school decision, potential off field issues"/>
  </r>
  <r>
    <x v="0"/>
    <x v="4"/>
    <n v="171"/>
    <s v="Kaytron Allen"/>
    <x v="13"/>
    <s v="5-11"/>
    <n v="216"/>
    <s v="9 ½"/>
    <s v="29 ½"/>
    <m/>
    <m/>
    <m/>
    <m/>
    <m/>
    <m/>
    <m/>
    <s v="Maybe"/>
    <s v="Low"/>
    <s v="Strong and tough runner, lack of burst, inconsistent WR and blocker out of backfield"/>
  </r>
  <r>
    <x v="4"/>
    <x v="4"/>
    <n v="180"/>
    <s v="Jalon Kilgore"/>
    <x v="20"/>
    <s v="6-1"/>
    <n v="210"/>
    <s v="9 ⅜"/>
    <s v="32 ⅞"/>
    <n v="4.4000000000000004"/>
    <n v="1.56"/>
    <n v="37"/>
    <s v="10-10"/>
    <m/>
    <n v="4.32"/>
    <n v="16"/>
    <m/>
    <s v="High"/>
    <s v="Big nickle, SS type, physical, good measurables, ball skills, somewhat of a project w/instincts"/>
  </r>
  <r>
    <x v="4"/>
    <x v="4"/>
    <n v="185"/>
    <s v="VJ Payne"/>
    <x v="52"/>
    <s v="6-3"/>
    <n v="206"/>
    <s v="9 ½"/>
    <s v="33 ¾"/>
    <n v="4.4000000000000004"/>
    <n v="1.52"/>
    <n v="35"/>
    <s v="10-7"/>
    <n v="6.94"/>
    <n v="4.33"/>
    <m/>
    <m/>
    <s v="Medium"/>
    <m/>
  </r>
  <r>
    <x v="8"/>
    <x v="5"/>
    <n v="153"/>
    <s v="Logan Taylor"/>
    <x v="59"/>
    <s v="6-7"/>
    <n v="314"/>
    <s v="10½"/>
    <s v="33⅞"/>
    <n v="5.19"/>
    <n v="1.82"/>
    <n v="31"/>
    <s v="9-1"/>
    <n v="7.75"/>
    <n v="4.84"/>
    <m/>
    <m/>
    <s v="Medium"/>
    <m/>
  </r>
  <r>
    <x v="6"/>
    <x v="5"/>
    <n v="159"/>
    <s v="Josh Cameron"/>
    <x v="45"/>
    <s v="6-1 ½"/>
    <n v="220"/>
    <s v="10 ¼"/>
    <s v="33 ⅛"/>
    <m/>
    <m/>
    <m/>
    <m/>
    <m/>
    <m/>
    <m/>
    <m/>
    <m/>
    <m/>
  </r>
  <r>
    <x v="7"/>
    <x v="5"/>
    <n v="160"/>
    <s v="Jaren Kanak"/>
    <x v="39"/>
    <s v="6-2"/>
    <n v="234"/>
    <s v="9 ⅜"/>
    <s v="30 ½"/>
    <n v="4.5199999999999996"/>
    <n v="1.61"/>
    <n v="36"/>
    <s v="9-11"/>
    <n v="7.21"/>
    <n v="4.2699999999999996"/>
    <m/>
    <s v="Yes"/>
    <s v="Medium"/>
    <s v="Good blocker, can catch, average athletcism, short arms, very tough player"/>
  </r>
  <r>
    <x v="7"/>
    <x v="5"/>
    <n v="165"/>
    <s v="Max Klare"/>
    <x v="4"/>
    <s v="6-4 ⅜"/>
    <n v="246"/>
    <s v="9 ⅛"/>
    <s v="32 ⅛"/>
    <m/>
    <m/>
    <m/>
    <m/>
    <m/>
    <m/>
    <m/>
    <s v="Yes"/>
    <s v="Low"/>
    <s v="Understands blocking angles and plays a big part in that part of game, late round ST"/>
  </r>
  <r>
    <x v="2"/>
    <x v="5"/>
    <n v="170"/>
    <s v="Diego Pounds"/>
    <x v="41"/>
    <s v="6-6"/>
    <n v="325"/>
    <s v="9¾"/>
    <s v="33¾"/>
    <n v="5.15"/>
    <n v="1.77"/>
    <n v="30"/>
    <s v="9-4"/>
    <n v="7.9"/>
    <m/>
    <m/>
    <m/>
    <s v="Low"/>
    <m/>
  </r>
  <r>
    <x v="5"/>
    <x v="5"/>
    <n v="170"/>
    <s v="Owen Heinecke"/>
    <x v="39"/>
    <s v="6-1 ½"/>
    <n v="227"/>
    <s v="9⅝"/>
    <s v="30⅛"/>
    <n v="4.62"/>
    <n v="1.62"/>
    <n v="34.5"/>
    <s v="9-11"/>
    <n v="7.15"/>
    <n v="4.2699999999999996"/>
    <m/>
    <s v="No"/>
    <s v="Medium"/>
    <s v="Backup linebacker"/>
  </r>
  <r>
    <x v="1"/>
    <x v="5"/>
    <n v="170"/>
    <s v="Caden Curry"/>
    <x v="4"/>
    <s v="6-3"/>
    <n v="257"/>
    <s v="9⅜"/>
    <s v="30⅛"/>
    <m/>
    <m/>
    <m/>
    <m/>
    <m/>
    <m/>
    <m/>
    <m/>
    <s v="Medium"/>
    <s v="Shorter arms, very disruptive despite lacking explosiveness, can play inside, not great vs. run, great motor, impacts game"/>
  </r>
  <r>
    <x v="9"/>
    <x v="5"/>
    <n v="170"/>
    <s v="LT Overton"/>
    <x v="16"/>
    <s v="6-3"/>
    <n v="274"/>
    <s v="10⅝"/>
    <s v="33¼"/>
    <n v="4.87"/>
    <n v="1.7"/>
    <m/>
    <m/>
    <m/>
    <m/>
    <m/>
    <s v="No"/>
    <s v="Medium"/>
    <s v="Long arms, hot and cold showing, lack of athleticism, bit of a tweener, underwhelming, low ceiling"/>
  </r>
  <r>
    <x v="8"/>
    <x v="5"/>
    <n v="174"/>
    <s v="Ar'maj Reed-Adams"/>
    <x v="9"/>
    <s v="6-6"/>
    <n v="314"/>
    <n v="10"/>
    <s v="34⅜"/>
    <n v="5.28"/>
    <n v="1.85"/>
    <n v="29.5"/>
    <s v="9-2"/>
    <n v="7.88"/>
    <m/>
    <m/>
    <m/>
    <s v="Low"/>
    <m/>
  </r>
  <r>
    <x v="6"/>
    <x v="5"/>
    <n v="175"/>
    <s v="Jeff Caldwell"/>
    <x v="46"/>
    <m/>
    <n v="216"/>
    <s v="9 ⅝"/>
    <s v="32 ⅝"/>
    <n v="4.3099999999999996"/>
    <n v="1.48"/>
    <n v="42"/>
    <s v="11-2"/>
    <m/>
    <m/>
    <m/>
    <m/>
    <s v="High"/>
    <m/>
  </r>
  <r>
    <x v="4"/>
    <x v="5"/>
    <n v="175"/>
    <s v="Jakobe Thomas"/>
    <x v="1"/>
    <s v="6-1 ¼"/>
    <n v="211"/>
    <s v="10 ⅝"/>
    <s v="31 ⅞"/>
    <m/>
    <m/>
    <m/>
    <m/>
    <m/>
    <m/>
    <m/>
    <s v="Yes"/>
    <m/>
    <s v="Good hitter, can play center field, later round FS"/>
  </r>
  <r>
    <x v="2"/>
    <x v="5"/>
    <n v="175"/>
    <s v="Enrique Cruz Jr."/>
    <x v="60"/>
    <s v="6-5½"/>
    <n v="313"/>
    <s v="10¼"/>
    <s v="33¾"/>
    <n v="4.9400000000000004"/>
    <n v="1.74"/>
    <n v="35"/>
    <s v="9-8"/>
    <m/>
    <m/>
    <m/>
    <m/>
    <s v="High"/>
    <m/>
  </r>
  <r>
    <x v="8"/>
    <x v="5"/>
    <n v="175"/>
    <s v="DJ Campbell"/>
    <x v="24"/>
    <s v="6-3"/>
    <n v="313"/>
    <s v="10¼"/>
    <s v="34¼"/>
    <n v="5.01"/>
    <n v="1.76"/>
    <n v="26.5"/>
    <s v="8-8"/>
    <m/>
    <m/>
    <m/>
    <m/>
    <s v="Low"/>
    <m/>
  </r>
  <r>
    <x v="8"/>
    <x v="5"/>
    <n v="177"/>
    <s v="Evan Beerntsen"/>
    <x v="43"/>
    <s v="6-3½"/>
    <n v="301"/>
    <s v="9⅜"/>
    <s v="32⅛"/>
    <n v="5.25"/>
    <n v="1.82"/>
    <n v="32.5"/>
    <s v="8-9"/>
    <n v="7.65"/>
    <n v="4.8"/>
    <m/>
    <m/>
    <m/>
    <m/>
  </r>
  <r>
    <x v="8"/>
    <x v="5"/>
    <n v="178"/>
    <s v="Febechi Nwaiwu"/>
    <x v="39"/>
    <s v="6-4"/>
    <n v="319"/>
    <s v="9⅝"/>
    <s v="34¼"/>
    <m/>
    <m/>
    <n v="24.5"/>
    <s v="8-9"/>
    <n v="7.8"/>
    <n v="4.7300000000000004"/>
    <m/>
    <s v="Yes"/>
    <m/>
    <s v="Long arms, decent mover, not bad player, nasty demeanor"/>
  </r>
  <r>
    <x v="0"/>
    <x v="5"/>
    <n v="179"/>
    <s v="Rahsul Faison"/>
    <x v="20"/>
    <s v="5-10"/>
    <n v="208"/>
    <n v="9"/>
    <s v="30 ⅞"/>
    <n v="4.62"/>
    <m/>
    <n v="37.5"/>
    <s v="10-2"/>
    <m/>
    <n v="4.26"/>
    <n v="14"/>
    <s v="Yes"/>
    <s v="High"/>
    <s v="26 yo player, good patience, lateral agility, decisive, dosen't have long speed, more quick than fast"/>
  </r>
  <r>
    <x v="8"/>
    <x v="5"/>
    <n v="180"/>
    <s v="Beau Stephens"/>
    <x v="19"/>
    <s v="6-5½"/>
    <n v="315"/>
    <s v="9¼"/>
    <s v="31¼"/>
    <n v="5.35"/>
    <n v="1.82"/>
    <n v="30"/>
    <s v="8-6"/>
    <n v="7.6"/>
    <n v="4.8499999999999996"/>
    <m/>
    <m/>
    <s v="Medium"/>
    <m/>
  </r>
  <r>
    <x v="8"/>
    <x v="5"/>
    <n v="180"/>
    <s v="Jager Burton"/>
    <x v="42"/>
    <s v="6-4"/>
    <n v="312"/>
    <s v="10⅛"/>
    <s v="32½"/>
    <n v="4.9400000000000004"/>
    <n v="1.76"/>
    <n v="28"/>
    <s v="9-3"/>
    <n v="7.62"/>
    <n v="4.5199999999999996"/>
    <n v="28"/>
    <m/>
    <m/>
    <m/>
  </r>
  <r>
    <x v="8"/>
    <x v="5"/>
    <n v="180"/>
    <s v="Fernando Carmona"/>
    <x v="29"/>
    <s v="6-5"/>
    <n v="316"/>
    <s v="9½"/>
    <s v="32¼"/>
    <n v="5.22"/>
    <n v="1.85"/>
    <n v="29"/>
    <s v="8-7"/>
    <n v="7.5"/>
    <n v="4.75"/>
    <m/>
    <m/>
    <m/>
    <m/>
  </r>
  <r>
    <x v="6"/>
    <x v="5"/>
    <n v="180"/>
    <s v="Dillon Bell"/>
    <x v="7"/>
    <m/>
    <n v="209"/>
    <s v="9 ½"/>
    <s v="30 ¼"/>
    <n v="4.5"/>
    <n v="1.58"/>
    <n v="39"/>
    <s v="10-6"/>
    <m/>
    <m/>
    <m/>
    <s v="No"/>
    <s v="Medium"/>
    <s v="Decent yak, late round WR, maybe UDFA"/>
  </r>
  <r>
    <x v="6"/>
    <x v="5"/>
    <n v="180"/>
    <s v="Colbie Young"/>
    <x v="7"/>
    <m/>
    <n v="218"/>
    <s v="9 ½"/>
    <s v="31 ⅞"/>
    <n v="4.49"/>
    <m/>
    <m/>
    <m/>
    <m/>
    <m/>
    <m/>
    <s v="Yes"/>
    <s v="Low"/>
    <s v="Tough, reliable but more of a depth WR or ST"/>
  </r>
  <r>
    <x v="6"/>
    <x v="5"/>
    <n v="180"/>
    <s v="Eric Rivers"/>
    <x v="26"/>
    <m/>
    <n v="176"/>
    <n v="9"/>
    <s v="30 ½"/>
    <n v="4.3499999999999996"/>
    <n v="1.52"/>
    <n v="37"/>
    <s v="10-7"/>
    <m/>
    <m/>
    <m/>
    <m/>
    <m/>
    <m/>
  </r>
  <r>
    <x v="8"/>
    <x v="5"/>
    <n v="180"/>
    <s v="Garrett DiGiorgio"/>
    <x v="61"/>
    <s v="6-6⅝"/>
    <n v="319"/>
    <s v="10⅛"/>
    <s v="32⅝"/>
    <n v="5.36"/>
    <n v="1.86"/>
    <n v="29.5"/>
    <s v="8-10"/>
    <n v="7.89"/>
    <n v="4.9000000000000004"/>
    <m/>
    <m/>
    <m/>
    <m/>
  </r>
  <r>
    <x v="6"/>
    <x v="5"/>
    <n v="180"/>
    <s v="Brenen Thompson"/>
    <x v="62"/>
    <s v="5-9 ⅜"/>
    <n v="164"/>
    <n v="9"/>
    <s v="29 ⅜"/>
    <n v="4.26"/>
    <n v="1.54"/>
    <m/>
    <m/>
    <m/>
    <m/>
    <m/>
    <m/>
    <m/>
    <s v="Tiny player, gadget options, too small to block"/>
  </r>
  <r>
    <x v="6"/>
    <x v="5"/>
    <n v="180"/>
    <s v="Harrison Wallace III"/>
    <x v="41"/>
    <m/>
    <n v="192"/>
    <s v="8 ⅜"/>
    <s v="32 ⅛"/>
    <n v="4.54"/>
    <n v="1.58"/>
    <m/>
    <m/>
    <m/>
    <m/>
    <m/>
    <m/>
    <m/>
    <m/>
  </r>
  <r>
    <x v="2"/>
    <x v="5"/>
    <n v="180"/>
    <s v="Aamil Wagner"/>
    <x v="0"/>
    <s v="6-5⅞"/>
    <n v="306"/>
    <s v="10¼"/>
    <s v="34½"/>
    <n v="5.01"/>
    <n v="1.79"/>
    <n v="29.5"/>
    <s v="9-1"/>
    <m/>
    <m/>
    <m/>
    <m/>
    <s v="Low"/>
    <m/>
  </r>
  <r>
    <x v="8"/>
    <x v="5"/>
    <n v="180"/>
    <s v="Matt Gulbin"/>
    <x v="63"/>
    <s v="6-4"/>
    <n v="305"/>
    <s v="9½"/>
    <s v="31¾"/>
    <m/>
    <m/>
    <n v="28"/>
    <m/>
    <n v="8.33"/>
    <n v="4.96"/>
    <n v="21"/>
    <m/>
    <m/>
    <m/>
  </r>
  <r>
    <x v="7"/>
    <x v="5"/>
    <n v="180"/>
    <s v="Sam Roush"/>
    <x v="64"/>
    <s v="6-6"/>
    <n v="267"/>
    <n v="10"/>
    <s v="30 ⅝"/>
    <n v="4.7"/>
    <n v="1.61"/>
    <n v="38.5"/>
    <s v="10-6"/>
    <n v="7.02"/>
    <n v="4.2699999999999996"/>
    <m/>
    <m/>
    <s v="High"/>
    <m/>
  </r>
  <r>
    <x v="8"/>
    <x v="5"/>
    <n v="180"/>
    <s v="Dillon Wade"/>
    <x v="14"/>
    <s v="6-3"/>
    <n v="316"/>
    <n v="10"/>
    <s v="31⅞"/>
    <n v="5.0199999999999996"/>
    <n v="1.75"/>
    <n v="28.5"/>
    <s v="8-8"/>
    <m/>
    <m/>
    <m/>
    <m/>
    <m/>
    <m/>
  </r>
  <r>
    <x v="8"/>
    <x v="5"/>
    <n v="180"/>
    <s v="Jaeden Roberts"/>
    <x v="16"/>
    <s v="6-5"/>
    <n v="333"/>
    <s v="10¼"/>
    <s v="33⅜"/>
    <m/>
    <m/>
    <m/>
    <m/>
    <m/>
    <m/>
    <m/>
    <m/>
    <m/>
    <m/>
  </r>
  <r>
    <x v="5"/>
    <x v="5"/>
    <n v="180"/>
    <s v="Namdi Obiazor"/>
    <x v="27"/>
    <s v="6-3"/>
    <n v="229"/>
    <s v="10½"/>
    <s v="30⅝"/>
    <n v="4.53"/>
    <n v="1.56"/>
    <n v="37"/>
    <s v="9-11"/>
    <n v="7.24"/>
    <n v="4.3600000000000003"/>
    <m/>
    <m/>
    <s v="Medium"/>
    <m/>
  </r>
  <r>
    <x v="5"/>
    <x v="5"/>
    <n v="180"/>
    <s v="Kaleb Elarms-Orr"/>
    <x v="27"/>
    <s v="6-2"/>
    <n v="234"/>
    <n v="9"/>
    <s v="31½"/>
    <n v="4.47"/>
    <n v="1.59"/>
    <n v="40"/>
    <s v="10-4"/>
    <m/>
    <n v="4.41"/>
    <m/>
    <m/>
    <s v="High"/>
    <s v="Dude can run, good speed, good agility, overall lack of instincts though"/>
  </r>
  <r>
    <x v="8"/>
    <x v="5"/>
    <n v="180"/>
    <s v="Pat Coogan"/>
    <x v="15"/>
    <s v="6-5"/>
    <n v="311"/>
    <s v="9¼"/>
    <s v="31¼"/>
    <m/>
    <m/>
    <m/>
    <m/>
    <m/>
    <m/>
    <m/>
    <s v="Yes"/>
    <s v="Low"/>
    <s v="Center for IU, good player, prob best OL, good mover on tape"/>
  </r>
  <r>
    <x v="9"/>
    <x v="5"/>
    <n v="180"/>
    <s v="David Gusta"/>
    <x v="42"/>
    <s v="6-2"/>
    <n v="308"/>
    <n v="10"/>
    <s v="31⅛"/>
    <n v="4.88"/>
    <n v="1.68"/>
    <n v="32"/>
    <d v="2026-08-01T00:00:00"/>
    <m/>
    <m/>
    <n v="37"/>
    <m/>
    <m/>
    <m/>
  </r>
  <r>
    <x v="1"/>
    <x v="5"/>
    <n v="180"/>
    <s v="Tyreak Sapp"/>
    <x v="25"/>
    <s v="6-2"/>
    <n v="273"/>
    <s v="9½"/>
    <n v="32"/>
    <m/>
    <m/>
    <m/>
    <m/>
    <m/>
    <m/>
    <n v="28"/>
    <s v="Yes"/>
    <s v="Medium"/>
    <s v="Good motor, physical player, feisty, not best get off, drops into coverage and is a baller, more DE than Edge"/>
  </r>
  <r>
    <x v="2"/>
    <x v="5"/>
    <n v="185"/>
    <s v="Jude Bowry"/>
    <x v="59"/>
    <s v="6-5⅛"/>
    <n v="314"/>
    <s v="10¾"/>
    <s v="33¾"/>
    <n v="5.08"/>
    <n v="1.75"/>
    <n v="34.5"/>
    <s v="9-7"/>
    <m/>
    <m/>
    <n v="24"/>
    <m/>
    <s v="Medium"/>
    <s v="Good mover, weak power, not most coordinated"/>
  </r>
  <r>
    <x v="0"/>
    <x v="5"/>
    <n v="185"/>
    <s v="Noah Whittington"/>
    <x v="8"/>
    <s v="5-8"/>
    <n v="205"/>
    <s v="8 ¼"/>
    <s v="29 ⅛"/>
    <m/>
    <m/>
    <m/>
    <m/>
    <m/>
    <m/>
    <n v="24"/>
    <s v="Yes"/>
    <s v="Medium"/>
    <s v="Decent RB, somewhat physical, older player 25 yo, good lateral agility, efficient runner"/>
  </r>
  <r>
    <x v="4"/>
    <x v="5"/>
    <n v="185"/>
    <s v="Xavier Nwankpa"/>
    <x v="19"/>
    <s v="6-2 ¼"/>
    <n v="208"/>
    <s v="8 ¼"/>
    <s v="30 ¾"/>
    <n v="4.4800000000000004"/>
    <n v="1.62"/>
    <n v="37.5"/>
    <m/>
    <n v="6.94"/>
    <n v="4.3899999999999997"/>
    <m/>
    <m/>
    <s v="High"/>
    <m/>
  </r>
  <r>
    <x v="5"/>
    <x v="5"/>
    <n v="185"/>
    <s v="Eric Gentry"/>
    <x v="11"/>
    <s v="6-7"/>
    <n v="221"/>
    <s v="10½"/>
    <n v="35"/>
    <n v="4.59"/>
    <m/>
    <n v="35.5"/>
    <d v="2026-10-04T00:00:00"/>
    <n v="6.76"/>
    <n v="4.41"/>
    <n v="13"/>
    <m/>
    <s v="Medium"/>
    <m/>
  </r>
  <r>
    <x v="0"/>
    <x v="5"/>
    <n v="186"/>
    <s v="Roman Hemby"/>
    <x v="15"/>
    <s v="6-01"/>
    <n v="207"/>
    <s v="9 ½"/>
    <n v="31"/>
    <m/>
    <m/>
    <m/>
    <m/>
    <m/>
    <m/>
    <m/>
    <s v="Yes"/>
    <s v="Low"/>
    <s v="Scrappy RB, decent short area quickness, gets all yards that are available, deceptive mover, typewriter feet"/>
  </r>
  <r>
    <x v="0"/>
    <x v="5"/>
    <n v="188"/>
    <s v="Jam Miller"/>
    <x v="16"/>
    <s v="5-10 ¼"/>
    <n v="209"/>
    <s v="8 ¾"/>
    <s v="30 ⅜"/>
    <n v="4.42"/>
    <n v="1.53"/>
    <n v="30.5"/>
    <s v="9-7"/>
    <m/>
    <m/>
    <m/>
    <m/>
    <s v="Medium"/>
    <m/>
  </r>
  <r>
    <x v="2"/>
    <x v="5"/>
    <n v="189"/>
    <s v="Austin Barber"/>
    <x v="25"/>
    <s v="6-6⅞"/>
    <n v="318"/>
    <s v="9⅝"/>
    <s v="33⅛"/>
    <n v="5.12"/>
    <n v="1.77"/>
    <n v="32"/>
    <s v="9-3"/>
    <m/>
    <m/>
    <m/>
    <s v="Yes"/>
    <s v="Medium"/>
    <s v="Left Tackle, good technique, good mover on his feet, not most powerful"/>
  </r>
  <r>
    <x v="0"/>
    <x v="5"/>
    <n v="189"/>
    <s v="Eli Heidenreich"/>
    <x v="65"/>
    <s v="6-01"/>
    <n v="198"/>
    <s v="9 ½"/>
    <s v="29 ¼"/>
    <n v="4.4400000000000004"/>
    <n v="1.55"/>
    <n v="35.5"/>
    <s v="10-1"/>
    <n v="6.55"/>
    <n v="4.22"/>
    <n v="16"/>
    <m/>
    <s v="High"/>
    <m/>
  </r>
  <r>
    <x v="7"/>
    <x v="5"/>
    <n v="190"/>
    <s v="Josh Cuevas"/>
    <x v="16"/>
    <s v="6-3 ⅜"/>
    <n v="245"/>
    <s v="9 ⅝"/>
    <s v="30 ⅝"/>
    <n v="4.6500000000000004"/>
    <n v="1.65"/>
    <n v="34"/>
    <s v="9-10"/>
    <m/>
    <m/>
    <m/>
    <s v="Maybe"/>
    <s v="Low"/>
    <s v="FB/TE Blocker"/>
  </r>
  <r>
    <x v="7"/>
    <x v="5"/>
    <n v="190"/>
    <s v="Joe Royer"/>
    <x v="46"/>
    <s v="6-5"/>
    <n v="247"/>
    <s v="10 ¾"/>
    <s v="31 ½"/>
    <m/>
    <m/>
    <m/>
    <m/>
    <m/>
    <m/>
    <m/>
    <m/>
    <s v="Low"/>
    <m/>
  </r>
  <r>
    <x v="7"/>
    <x v="5"/>
    <n v="190"/>
    <s v="Nate Boerkircher"/>
    <x v="9"/>
    <s v="6-5 ½"/>
    <n v="245"/>
    <s v="10 ½"/>
    <s v="32 ⅝"/>
    <m/>
    <m/>
    <m/>
    <m/>
    <m/>
    <m/>
    <m/>
    <m/>
    <m/>
    <m/>
  </r>
  <r>
    <x v="4"/>
    <x v="5"/>
    <n v="190"/>
    <s v="Robert Spears-Jennings"/>
    <x v="39"/>
    <s v="6-2"/>
    <n v="205"/>
    <s v="10 ⅜"/>
    <s v="32 ½"/>
    <n v="4.32"/>
    <n v="1.51"/>
    <n v="35"/>
    <s v="10-5"/>
    <n v="7.14"/>
    <n v="4.38"/>
    <n v="14"/>
    <s v="Maybe"/>
    <s v="High"/>
    <s v="Not impressed by his football IQ, good measurables and size though"/>
  </r>
  <r>
    <x v="7"/>
    <x v="5"/>
    <n v="190"/>
    <s v="Dallen Bentley"/>
    <x v="2"/>
    <s v="6-4 ⅛"/>
    <n v="253"/>
    <s v="9 ¼"/>
    <s v="33 ⅛"/>
    <n v="4.62"/>
    <n v="1.62"/>
    <n v="35"/>
    <s v="9-10"/>
    <n v="7"/>
    <n v="4.18"/>
    <m/>
    <m/>
    <m/>
    <m/>
  </r>
  <r>
    <x v="2"/>
    <x v="5"/>
    <n v="190"/>
    <s v="Markel Bell"/>
    <x v="1"/>
    <s v="6-9¼"/>
    <n v="346"/>
    <n v="9"/>
    <s v="36⅜"/>
    <n v="5.36"/>
    <n v="1.84"/>
    <m/>
    <m/>
    <m/>
    <m/>
    <m/>
    <s v="No"/>
    <s v="Low"/>
    <s v="Huge lumbering OT, could be good in gap scheme"/>
  </r>
  <r>
    <x v="5"/>
    <x v="5"/>
    <n v="190"/>
    <s v="Justin Jefferson"/>
    <x v="16"/>
    <s v="6-01"/>
    <n v="223"/>
    <n v="10"/>
    <s v="31⅝"/>
    <n v="4.57"/>
    <n v="1.6"/>
    <n v="38.5"/>
    <s v="10-5"/>
    <m/>
    <m/>
    <m/>
    <m/>
    <s v="Medium"/>
    <s v="Decent athlete, didn't stand out on tape"/>
  </r>
  <r>
    <x v="5"/>
    <x v="5"/>
    <n v="190"/>
    <s v="Aiden Fisher"/>
    <x v="15"/>
    <s v="6-1"/>
    <n v="232"/>
    <s v="9½"/>
    <s v="31⅛"/>
    <m/>
    <m/>
    <m/>
    <m/>
    <m/>
    <m/>
    <m/>
    <m/>
    <m/>
    <s v="Physical but didn't see too many plays on tape (Butkus Award finalist)"/>
  </r>
  <r>
    <x v="0"/>
    <x v="5"/>
    <n v="190"/>
    <s v="Robert Henry"/>
    <x v="66"/>
    <s v="5-9 ¼"/>
    <n v="196"/>
    <s v="9 ⅛"/>
    <s v="30 ⅛"/>
    <n v="4.5199999999999996"/>
    <n v="1.62"/>
    <n v="37"/>
    <s v="10-4"/>
    <n v="7.11"/>
    <n v="4.0999999999999996"/>
    <n v="17"/>
    <m/>
    <s v="High"/>
    <m/>
  </r>
  <r>
    <x v="0"/>
    <x v="5"/>
    <n v="190"/>
    <s v="J'Mari Taylor"/>
    <x v="67"/>
    <s v="5-10"/>
    <n v="199"/>
    <n v="9"/>
    <n v="30"/>
    <n v="4.63"/>
    <m/>
    <n v="34.5"/>
    <s v="9-7"/>
    <m/>
    <m/>
    <n v="20"/>
    <m/>
    <m/>
    <s v="Good contact balance, vision and patience, tough, pass protection is solid, can cass passes, complete shorter power-RB"/>
  </r>
  <r>
    <x v="4"/>
    <x v="5"/>
    <n v="191"/>
    <s v="DeShon Singleton"/>
    <x v="33"/>
    <s v="6-3"/>
    <n v="205"/>
    <n v="10"/>
    <s v="32 ⅞"/>
    <m/>
    <m/>
    <n v="39.5"/>
    <s v="10-10"/>
    <m/>
    <m/>
    <m/>
    <m/>
    <m/>
    <m/>
  </r>
  <r>
    <x v="4"/>
    <x v="5"/>
    <n v="191"/>
    <s v="Dalton Johnson"/>
    <x v="30"/>
    <s v="5-11"/>
    <n v="192"/>
    <s v="9 ⅛"/>
    <s v="30 ⅞"/>
    <n v="4.41"/>
    <n v="1.59"/>
    <n v="36"/>
    <s v="9-11"/>
    <m/>
    <m/>
    <m/>
    <m/>
    <m/>
    <m/>
  </r>
  <r>
    <x v="9"/>
    <x v="5"/>
    <m/>
    <s v="Jackie Marshall"/>
    <x v="45"/>
    <s v="6-2 ½"/>
    <n v="293"/>
    <s v="9½"/>
    <n v="32"/>
    <n v="4.88"/>
    <n v="1.69"/>
    <m/>
    <m/>
    <m/>
    <n v="4.68"/>
    <m/>
    <m/>
    <m/>
    <m/>
  </r>
  <r>
    <x v="9"/>
    <x v="5"/>
    <m/>
    <s v="Kaleb Proctor"/>
    <x v="68"/>
    <s v="6-2"/>
    <n v="291"/>
    <s v="9½"/>
    <n v="33"/>
    <n v="4.79"/>
    <n v="1.69"/>
    <n v="33"/>
    <s v="9-5"/>
    <m/>
    <n v="4.71"/>
    <m/>
    <m/>
    <m/>
    <m/>
  </r>
  <r>
    <x v="9"/>
    <x v="5"/>
    <m/>
    <s v="Cameron Ball"/>
    <x v="29"/>
    <s v="6-4"/>
    <n v="310"/>
    <s v="9½"/>
    <n v="33"/>
    <n v="5.13"/>
    <n v="1.79"/>
    <n v="32"/>
    <s v="9-1"/>
    <n v="8.02"/>
    <n v="4.76"/>
    <m/>
    <m/>
    <m/>
    <m/>
  </r>
  <r>
    <x v="3"/>
    <x v="5"/>
    <m/>
    <s v="Latrell McCutchin"/>
    <x v="69"/>
    <s v="6-2"/>
    <n v="182"/>
    <s v="9 ⅝"/>
    <s v="29 ⅜"/>
    <m/>
    <m/>
    <n v="43.5"/>
    <m/>
    <m/>
    <m/>
    <m/>
    <m/>
    <m/>
    <m/>
  </r>
  <r>
    <x v="3"/>
    <x v="5"/>
    <m/>
    <s v="Devin Moore"/>
    <x v="25"/>
    <s v="6-3 ¼"/>
    <n v="182"/>
    <s v="9 ⅞"/>
    <s v="32 ⅜"/>
    <n v="4.42"/>
    <n v="1.51"/>
    <n v="39"/>
    <d v="2026-10-01T00:00:00"/>
    <m/>
    <m/>
    <m/>
    <s v="No"/>
    <m/>
    <s v="Not an aggressive tackler, potential liability in run game"/>
  </r>
  <r>
    <x v="3"/>
    <x v="5"/>
    <m/>
    <s v="Avery Smith"/>
    <x v="23"/>
    <s v="5-10 ½"/>
    <n v="186"/>
    <s v="8 ⅝"/>
    <n v="31"/>
    <m/>
    <m/>
    <n v="34"/>
    <s v="10-3"/>
    <m/>
    <m/>
    <n v="17"/>
    <m/>
    <m/>
    <m/>
  </r>
  <r>
    <x v="3"/>
    <x v="5"/>
    <m/>
    <s v="Thaddeus Dixon"/>
    <x v="70"/>
    <s v="6-1"/>
    <n v="193"/>
    <s v="9 ⅝"/>
    <s v="31 ⅜"/>
    <n v="4.4400000000000004"/>
    <m/>
    <m/>
    <m/>
    <m/>
    <m/>
    <m/>
    <m/>
    <m/>
    <m/>
  </r>
  <r>
    <x v="3"/>
    <x v="5"/>
    <m/>
    <s v="Toriano Pride Jr."/>
    <x v="31"/>
    <s v="5-10"/>
    <n v="181"/>
    <s v="9 ¼"/>
    <n v="30"/>
    <m/>
    <m/>
    <m/>
    <m/>
    <m/>
    <m/>
    <m/>
    <m/>
    <m/>
    <m/>
  </r>
  <r>
    <x v="3"/>
    <x v="5"/>
    <m/>
    <s v="Marcus Allen"/>
    <x v="70"/>
    <s v="6-2"/>
    <n v="187"/>
    <s v="8 ⅞"/>
    <n v="30"/>
    <m/>
    <m/>
    <m/>
    <m/>
    <m/>
    <m/>
    <m/>
    <m/>
    <m/>
    <m/>
  </r>
  <r>
    <x v="3"/>
    <x v="5"/>
    <m/>
    <s v="Andre Fuller"/>
    <x v="23"/>
    <s v="6-1"/>
    <n v="190"/>
    <s v="9 ¼"/>
    <s v="30 ⅛"/>
    <m/>
    <m/>
    <m/>
    <m/>
    <m/>
    <m/>
    <m/>
    <s v="Yes"/>
    <m/>
    <s v="Seahawks visit"/>
  </r>
  <r>
    <x v="1"/>
    <x v="5"/>
    <m/>
    <s v="Jack Pyburn"/>
    <x v="3"/>
    <s v="6-4"/>
    <n v="258"/>
    <n v="10"/>
    <s v="30⅞"/>
    <m/>
    <m/>
    <m/>
    <m/>
    <m/>
    <m/>
    <m/>
    <s v="Yes"/>
    <s v="Low"/>
    <s v="Does a lot in defense, rushes decently, good power and size, won't take over games"/>
  </r>
  <r>
    <x v="1"/>
    <x v="5"/>
    <m/>
    <s v="Logan Fano"/>
    <x v="2"/>
    <s v="6-5"/>
    <n v="257"/>
    <s v="9⅜"/>
    <s v="31⅜"/>
    <n v="4.59"/>
    <m/>
    <n v="32"/>
    <d v="2026-09-10T00:00:00"/>
    <m/>
    <m/>
    <m/>
    <m/>
    <m/>
    <s v="Good long arm, high motor, upper body strength, stiff frame, injury history"/>
  </r>
  <r>
    <x v="1"/>
    <x v="5"/>
    <m/>
    <s v="Patrick Payton"/>
    <x v="3"/>
    <s v="6-5"/>
    <n v="260"/>
    <n v="10"/>
    <s v="33⅜"/>
    <m/>
    <m/>
    <m/>
    <m/>
    <m/>
    <m/>
    <m/>
    <s v="Maybe"/>
    <s v="Medium"/>
    <s v="Physical, has decent power, decent speed, nothing special of either though, high upside low floor w/athleticism"/>
  </r>
  <r>
    <x v="9"/>
    <x v="5"/>
    <m/>
    <s v="Nick Barrett"/>
    <x v="20"/>
    <s v="6-3"/>
    <n v="312"/>
    <n v="10"/>
    <s v="33⅜"/>
    <n v="5.0999999999999996"/>
    <n v="1.7"/>
    <n v="31.5"/>
    <s v="9-1"/>
    <n v="8.17"/>
    <n v="4.91"/>
    <m/>
    <m/>
    <m/>
    <m/>
  </r>
  <r>
    <x v="1"/>
    <x v="5"/>
    <m/>
    <s v="George Gumbs"/>
    <x v="25"/>
    <s v="6-4"/>
    <n v="245"/>
    <n v="9"/>
    <s v="33⅝"/>
    <n v="4.66"/>
    <n v="1.67"/>
    <n v="41"/>
    <s v="10-1"/>
    <n v="7"/>
    <m/>
    <m/>
    <m/>
    <s v="Medium"/>
    <m/>
  </r>
  <r>
    <x v="7"/>
    <x v="6"/>
    <m/>
    <s v="Khalil Dinkins"/>
    <x v="13"/>
    <s v="6-4 ¼"/>
    <n v="251"/>
    <s v="9 ½"/>
    <s v="33 ¼"/>
    <n v="4.72"/>
    <n v="1.7"/>
    <n v="32.5"/>
    <s v="9-11"/>
    <m/>
    <m/>
    <m/>
    <m/>
    <m/>
    <m/>
  </r>
  <r>
    <x v="7"/>
    <x v="6"/>
    <m/>
    <s v="Will Kacmarek"/>
    <x v="4"/>
    <s v="6-5 ½"/>
    <n v="261"/>
    <s v="9 ⅝"/>
    <s v="32 ¼"/>
    <n v="4.74"/>
    <n v="1.7"/>
    <n v="36"/>
    <s v="9-11"/>
    <m/>
    <m/>
    <m/>
    <s v="No"/>
    <m/>
    <s v="Seemed more in receiving game"/>
  </r>
  <r>
    <x v="10"/>
    <x v="6"/>
    <m/>
    <s v="Luke Altmyer"/>
    <x v="40"/>
    <s v="6-1 ¾"/>
    <n v="210"/>
    <n v="9"/>
    <s v="29 ⅞"/>
    <n v="4.72"/>
    <n v="1.66"/>
    <n v="32"/>
    <s v="9-6"/>
    <m/>
    <m/>
    <m/>
    <m/>
    <m/>
    <m/>
  </r>
  <r>
    <x v="10"/>
    <x v="6"/>
    <m/>
    <s v="Taylen Green"/>
    <x v="29"/>
    <s v="6-5 ⅞"/>
    <n v="227"/>
    <s v="9 ⅞"/>
    <s v="34 ¾"/>
    <n v="4.3600000000000003"/>
    <n v="1.55"/>
    <n v="43.5"/>
    <s v="11-2"/>
    <m/>
    <m/>
    <m/>
    <m/>
    <m/>
    <m/>
  </r>
  <r>
    <x v="10"/>
    <x v="6"/>
    <m/>
    <s v="Sawyer Robertson"/>
    <x v="45"/>
    <s v="6-3¾"/>
    <n v="216"/>
    <s v="9 ⅜"/>
    <s v="32 ⅛"/>
    <n v="4.6500000000000004"/>
    <n v="1.59"/>
    <n v="37.5"/>
    <s v="10-3"/>
    <n v="7.45"/>
    <n v="4.46"/>
    <m/>
    <m/>
    <m/>
    <m/>
  </r>
  <r>
    <x v="10"/>
    <x v="6"/>
    <m/>
    <s v="Haynes King"/>
    <x v="26"/>
    <s v="6-2 ⅜"/>
    <n v="212"/>
    <n v="9"/>
    <s v="31 ⅞"/>
    <n v="4.46"/>
    <n v="1.56"/>
    <n v="33.5"/>
    <s v="9-8"/>
    <n v="6.89"/>
    <n v="4.17"/>
    <m/>
    <m/>
    <m/>
    <m/>
  </r>
  <r>
    <x v="7"/>
    <x v="6"/>
    <m/>
    <s v="Tanner Koziol"/>
    <x v="69"/>
    <s v="6-6 ½"/>
    <n v="247"/>
    <s v="9 ⅝"/>
    <s v="33 ¾"/>
    <n v="4.7"/>
    <n v="1.62"/>
    <n v="36.5"/>
    <s v="10-2"/>
    <m/>
    <m/>
    <m/>
    <m/>
    <m/>
    <m/>
  </r>
  <r>
    <x v="7"/>
    <x v="6"/>
    <m/>
    <s v="Riley Nowakowski"/>
    <x v="15"/>
    <s v="6-2 ¼"/>
    <n v="250"/>
    <s v="8 ¾"/>
    <s v="31 ½"/>
    <n v="4.66"/>
    <n v="1.7"/>
    <n v="33.5"/>
    <s v="9-11"/>
    <m/>
    <m/>
    <m/>
    <m/>
    <m/>
    <s v="Scrappy TE, not very athletic but willing blocker"/>
  </r>
  <r>
    <x v="10"/>
    <x v="6"/>
    <m/>
    <s v="Jalon Daniels"/>
    <x v="60"/>
    <s v="6-0 ⅝"/>
    <n v="219"/>
    <s v="9 ⅝"/>
    <s v="30 ⅜"/>
    <n v="4.6500000000000004"/>
    <n v="1.63"/>
    <m/>
    <m/>
    <m/>
    <m/>
    <m/>
    <m/>
    <m/>
    <m/>
  </r>
  <r>
    <x v="2"/>
    <x v="6"/>
    <m/>
    <s v="Drew Shelton"/>
    <x v="13"/>
    <s v="6-5"/>
    <n v="313"/>
    <s v="9⅝"/>
    <s v="33⅜"/>
    <n v="5.16"/>
    <n v="1.79"/>
    <n v="31"/>
    <s v="9-4"/>
    <m/>
    <m/>
    <m/>
    <m/>
    <s v="Medium"/>
    <m/>
  </r>
  <r>
    <x v="7"/>
    <x v="6"/>
    <m/>
    <s v="Bauer Sharp"/>
    <x v="3"/>
    <s v="6-4 ⅝"/>
    <n v="249"/>
    <s v="9 ⅝"/>
    <s v="31 ¾"/>
    <n v="4.63"/>
    <n v="1.68"/>
    <m/>
    <s v="10-1"/>
    <m/>
    <m/>
    <m/>
    <m/>
    <m/>
    <m/>
  </r>
  <r>
    <x v="7"/>
    <x v="6"/>
    <m/>
    <s v="Justin Joly"/>
    <x v="44"/>
    <s v="6-3 ½"/>
    <n v="241"/>
    <s v="10 ½"/>
    <s v="32 ¼"/>
    <m/>
    <m/>
    <m/>
    <m/>
    <m/>
    <m/>
    <m/>
    <m/>
    <m/>
    <m/>
  </r>
  <r>
    <x v="6"/>
    <x v="6"/>
    <m/>
    <s v="Chris Hilton Jr."/>
    <x v="3"/>
    <m/>
    <n v="188"/>
    <s v="9 ¼"/>
    <n v="32"/>
    <n v="4.41"/>
    <n v="1.57"/>
    <n v="34.5"/>
    <s v="10-2"/>
    <n v="7.25"/>
    <n v="4.41"/>
    <m/>
    <m/>
    <m/>
    <m/>
  </r>
  <r>
    <x v="7"/>
    <x v="6"/>
    <m/>
    <s v="Eli Raridon"/>
    <x v="0"/>
    <s v="6-6 ⅛"/>
    <n v="245"/>
    <s v="10 ¾"/>
    <s v="32 ¾"/>
    <n v="4.62"/>
    <n v="1.6"/>
    <n v="36"/>
    <s v="10-3"/>
    <m/>
    <m/>
    <m/>
    <m/>
    <m/>
    <m/>
  </r>
  <r>
    <x v="6"/>
    <x v="6"/>
    <m/>
    <s v="Chase Roberts"/>
    <x v="50"/>
    <m/>
    <n v="209"/>
    <s v="9 ⅝"/>
    <s v="31 ½"/>
    <n v="4.6399999999999997"/>
    <n v="1.6"/>
    <n v="37"/>
    <s v="10-6"/>
    <m/>
    <m/>
    <m/>
    <m/>
    <m/>
    <m/>
  </r>
  <r>
    <x v="6"/>
    <x v="6"/>
    <m/>
    <s v="J. Michael Sturdivant"/>
    <x v="25"/>
    <m/>
    <n v="207"/>
    <s v="9 ½"/>
    <s v="32 ⅞"/>
    <n v="4.4000000000000004"/>
    <n v="1.54"/>
    <n v="39"/>
    <s v="10-11"/>
    <m/>
    <m/>
    <m/>
    <m/>
    <m/>
    <m/>
  </r>
  <r>
    <x v="6"/>
    <x v="6"/>
    <m/>
    <s v="Jalen Walthall"/>
    <x v="71"/>
    <m/>
    <n v="191"/>
    <n v="9"/>
    <s v="31 ¼"/>
    <n v="4.57"/>
    <m/>
    <n v="35"/>
    <s v="10-11"/>
    <m/>
    <m/>
    <m/>
    <m/>
    <m/>
    <m/>
  </r>
  <r>
    <x v="7"/>
    <x v="6"/>
    <m/>
    <s v="Dae'Quan Wright"/>
    <x v="41"/>
    <s v="6-4"/>
    <n v="246"/>
    <s v="9 ¼"/>
    <s v="32 ¼"/>
    <m/>
    <m/>
    <m/>
    <m/>
    <m/>
    <m/>
    <m/>
    <m/>
    <m/>
    <m/>
  </r>
  <r>
    <x v="6"/>
    <x v="6"/>
    <m/>
    <s v="Emmanuel Henderson Jr."/>
    <x v="60"/>
    <m/>
    <n v="185"/>
    <s v="8 ⅜"/>
    <n v="31"/>
    <n v="4.4400000000000004"/>
    <n v="1.56"/>
    <n v="35"/>
    <s v="10-1"/>
    <m/>
    <m/>
    <m/>
    <m/>
    <m/>
    <m/>
  </r>
  <r>
    <x v="2"/>
    <x v="6"/>
    <m/>
    <s v="Carver Willis"/>
    <x v="18"/>
    <s v="6-5"/>
    <n v="303"/>
    <s v="9½"/>
    <s v="32½"/>
    <n v="5.1100000000000003"/>
    <n v="1.84"/>
    <n v="26.5"/>
    <s v="9-1"/>
    <m/>
    <m/>
    <m/>
    <m/>
    <m/>
    <m/>
  </r>
  <r>
    <x v="7"/>
    <x v="6"/>
    <m/>
    <s v="Matthew Hibner"/>
    <x v="72"/>
    <s v="6-4 ¼"/>
    <n v="251"/>
    <s v="9 ⅜"/>
    <s v="32 ⅜"/>
    <n v="4.57"/>
    <n v="1.61"/>
    <n v="37"/>
    <s v="9-8"/>
    <m/>
    <m/>
    <m/>
    <m/>
    <m/>
    <m/>
  </r>
  <r>
    <x v="7"/>
    <x v="6"/>
    <m/>
    <s v="RJ Maryland"/>
    <x v="72"/>
    <s v="6-4 ⅛"/>
    <n v="236"/>
    <n v="9"/>
    <s v="32 ¼"/>
    <n v="4.51"/>
    <n v="1.64"/>
    <n v="33"/>
    <s v="10-2"/>
    <m/>
    <m/>
    <m/>
    <m/>
    <m/>
    <m/>
  </r>
  <r>
    <x v="6"/>
    <x v="6"/>
    <m/>
    <s v="Kendrick Law"/>
    <x v="42"/>
    <m/>
    <n v="203"/>
    <s v="9 ⅝"/>
    <s v="31 ⅛"/>
    <n v="4.45"/>
    <n v="1.56"/>
    <n v="42"/>
    <s v="10-8"/>
    <m/>
    <m/>
    <m/>
    <m/>
    <m/>
    <m/>
  </r>
  <r>
    <x v="4"/>
    <x v="6"/>
    <m/>
    <s v="Lorenzo Styles"/>
    <x v="4"/>
    <s v="6-0 ½"/>
    <n v="194"/>
    <s v="9 ½"/>
    <s v="31 ⅝"/>
    <n v="4.2699999999999996"/>
    <n v="1.49"/>
    <n v="39"/>
    <m/>
    <m/>
    <m/>
    <m/>
    <s v="No"/>
    <m/>
    <s v="Who?"/>
  </r>
  <r>
    <x v="6"/>
    <x v="6"/>
    <m/>
    <s v="Caullin Lacy"/>
    <x v="32"/>
    <m/>
    <n v="183"/>
    <s v="9 ⅞"/>
    <s v="29 ⅜"/>
    <n v="4.55"/>
    <n v="1.59"/>
    <n v="33.5"/>
    <s v="9-8"/>
    <m/>
    <m/>
    <m/>
    <s v="No"/>
    <m/>
    <s v="Another small player, UDFA, returner"/>
  </r>
  <r>
    <x v="7"/>
    <x v="6"/>
    <m/>
    <s v="DJ Rogers"/>
    <x v="27"/>
    <s v="6-4"/>
    <n v="258"/>
    <s v="9 ½"/>
    <s v="33 ⅝"/>
    <m/>
    <m/>
    <m/>
    <m/>
    <m/>
    <m/>
    <m/>
    <m/>
    <m/>
    <m/>
  </r>
  <r>
    <x v="6"/>
    <x v="6"/>
    <m/>
    <s v="Zavion Thomas"/>
    <x v="3"/>
    <m/>
    <n v="190"/>
    <n v="9"/>
    <s v="30 ½"/>
    <n v="4.28"/>
    <n v="1.52"/>
    <n v="36"/>
    <m/>
    <m/>
    <m/>
    <m/>
    <m/>
    <m/>
    <m/>
  </r>
  <r>
    <x v="9"/>
    <x v="6"/>
    <m/>
    <s v="Bryson Eason"/>
    <x v="6"/>
    <s v="6-2"/>
    <n v="323"/>
    <n v="10"/>
    <s v="33⅛"/>
    <n v="5.09"/>
    <n v="1.78"/>
    <n v="30.5"/>
    <s v="9-4"/>
    <m/>
    <n v="5"/>
    <m/>
    <s v="No"/>
    <s v="Medium"/>
    <s v="Decent bull rush, not that powerful for a guy this size, inconsistent, meh player"/>
  </r>
  <r>
    <x v="7"/>
    <x v="6"/>
    <m/>
    <s v="Miles Kitselman"/>
    <x v="6"/>
    <s v="6-5 ⅛"/>
    <n v="251"/>
    <s v="9 ⅞"/>
    <s v="31 ⅞"/>
    <n v="4.9000000000000004"/>
    <n v="1.71"/>
    <n v="34.5"/>
    <s v="9-8"/>
    <m/>
    <m/>
    <m/>
    <s v="No"/>
    <m/>
    <s v="Lumbering TE, reliable hands and can run routes but not a NFL TE"/>
  </r>
  <r>
    <x v="4"/>
    <x v="6"/>
    <m/>
    <s v="Ahmaad Moses"/>
    <x v="72"/>
    <s v="5-9"/>
    <n v="196"/>
    <s v="9 ⅛"/>
    <s v="30 ¼"/>
    <m/>
    <m/>
    <n v="38"/>
    <m/>
    <m/>
    <m/>
    <m/>
    <m/>
    <m/>
    <m/>
  </r>
  <r>
    <x v="6"/>
    <x v="6"/>
    <m/>
    <s v="Aaron Anderson"/>
    <x v="3"/>
    <m/>
    <n v="191"/>
    <s v="9 ¼"/>
    <s v="29 ¾"/>
    <m/>
    <m/>
    <n v="30"/>
    <s v="9-5"/>
    <m/>
    <m/>
    <m/>
    <m/>
    <m/>
    <s v="Light player with good short area quickness, decent hands, ST player, depth WR"/>
  </r>
  <r>
    <x v="2"/>
    <x v="6"/>
    <m/>
    <s v="Travis Burke"/>
    <x v="73"/>
    <s v="6-8¾"/>
    <n v="325"/>
    <s v="10⅛"/>
    <s v="34¼"/>
    <n v="5.17"/>
    <n v="1.79"/>
    <n v="27"/>
    <s v="8-11"/>
    <m/>
    <m/>
    <m/>
    <m/>
    <m/>
    <m/>
  </r>
  <r>
    <x v="5"/>
    <x v="6"/>
    <m/>
    <s v="Xavian Sorey"/>
    <x v="29"/>
    <s v="6-2"/>
    <n v="228"/>
    <s v="9⅝"/>
    <s v="31⅝"/>
    <n v="4.63"/>
    <n v="1.66"/>
    <n v="37.5"/>
    <d v="2026-10-01T00:00:00"/>
    <n v="7"/>
    <n v="4.42"/>
    <m/>
    <m/>
    <s v="Medium"/>
    <m/>
  </r>
  <r>
    <x v="8"/>
    <x v="6"/>
    <m/>
    <s v="Joshua Braun"/>
    <x v="42"/>
    <s v="6-6"/>
    <n v="325"/>
    <s v="10½"/>
    <s v="34⅝"/>
    <m/>
    <m/>
    <m/>
    <m/>
    <n v="7.62"/>
    <m/>
    <m/>
    <m/>
    <m/>
    <m/>
  </r>
  <r>
    <x v="9"/>
    <x v="6"/>
    <m/>
    <s v="Bobby Jamison-Travis"/>
    <x v="14"/>
    <s v="6-3"/>
    <n v="328"/>
    <s v="9⅝"/>
    <s v="34¼"/>
    <m/>
    <m/>
    <m/>
    <m/>
    <m/>
    <m/>
    <m/>
    <m/>
    <m/>
    <m/>
  </r>
  <r>
    <x v="5"/>
    <x v="6"/>
    <m/>
    <s v="Wade Woodaz"/>
    <x v="10"/>
    <s v="6-3"/>
    <n v="236"/>
    <n v="10"/>
    <s v="32⅝"/>
    <m/>
    <m/>
    <m/>
    <m/>
    <m/>
    <m/>
    <m/>
    <m/>
    <m/>
    <m/>
  </r>
  <r>
    <x v="5"/>
    <x v="6"/>
    <m/>
    <s v="Wesley Bissainthe"/>
    <x v="1"/>
    <s v="6-2"/>
    <n v="225"/>
    <s v="9⅝"/>
    <s v="31⅞"/>
    <m/>
    <m/>
    <m/>
    <m/>
    <m/>
    <m/>
    <m/>
    <s v="No"/>
    <m/>
    <s v="Not much to see here"/>
  </r>
  <r>
    <x v="9"/>
    <x v="6"/>
    <m/>
    <s v="Deven Eastern"/>
    <x v="74"/>
    <s v="6-5"/>
    <n v="315"/>
    <n v="10"/>
    <n v="34"/>
    <m/>
    <m/>
    <n v="27.5"/>
    <s v="9-4"/>
    <n v="8.07"/>
    <m/>
    <m/>
    <m/>
    <m/>
    <m/>
  </r>
  <r>
    <x v="9"/>
    <x v="6"/>
    <m/>
    <s v="Tyler Onyedim"/>
    <x v="9"/>
    <s v="6-3 ½"/>
    <n v="292"/>
    <s v="10⅛"/>
    <s v="34⅛"/>
    <m/>
    <m/>
    <n v="32"/>
    <s v="9-3"/>
    <m/>
    <m/>
    <m/>
    <m/>
    <m/>
    <m/>
  </r>
  <r>
    <x v="10"/>
    <x v="6"/>
    <m/>
    <s v="Behren Morton"/>
    <x v="5"/>
    <s v="6-2"/>
    <n v="221"/>
    <s v="9 ½"/>
    <s v="30 ⅝"/>
    <m/>
    <m/>
    <m/>
    <m/>
    <m/>
    <m/>
    <m/>
    <m/>
    <m/>
    <m/>
  </r>
  <r>
    <x v="6"/>
    <x v="6"/>
    <m/>
    <s v="CJ Daniels"/>
    <x v="1"/>
    <m/>
    <n v="202"/>
    <s v="9 ¼"/>
    <s v="31 ¾"/>
    <m/>
    <m/>
    <m/>
    <m/>
    <m/>
    <m/>
    <m/>
    <s v="No"/>
    <m/>
    <s v="Decent WR, can run routes, not a speedster, didn't dominate at FBS"/>
  </r>
  <r>
    <x v="6"/>
    <x v="6"/>
    <m/>
    <s v="Donaven McCulley"/>
    <x v="38"/>
    <s v="6-4 ½"/>
    <n v="203"/>
    <s v="10 ¼"/>
    <s v="32 ⅝"/>
    <m/>
    <m/>
    <m/>
    <m/>
    <m/>
    <m/>
    <m/>
    <s v="No"/>
    <m/>
    <s v="Long and lean, big hands, willing blocker, wasn't much of an impact player, not much separation"/>
  </r>
  <r>
    <x v="4"/>
    <x v="6"/>
    <m/>
    <s v="Michael Taaffe"/>
    <x v="24"/>
    <s v="6-01"/>
    <n v="190"/>
    <s v="9 ⅜"/>
    <s v="29 ¼"/>
    <n v="4.5"/>
    <n v="1.58"/>
    <m/>
    <m/>
    <m/>
    <m/>
    <m/>
    <m/>
    <m/>
    <m/>
  </r>
  <r>
    <x v="3"/>
    <x v="6"/>
    <m/>
    <s v="Collin Wright"/>
    <x v="64"/>
    <s v="6-01"/>
    <n v="196"/>
    <s v="8 ⅜"/>
    <s v="29 ⅜"/>
    <n v="4.54"/>
    <n v="1.61"/>
    <n v="38.5"/>
    <s v="10-5"/>
    <n v="7.03"/>
    <n v="4.46"/>
    <m/>
    <m/>
    <m/>
    <m/>
  </r>
  <r>
    <x v="3"/>
    <x v="6"/>
    <m/>
    <s v="Jaylon Guilbeau"/>
    <x v="24"/>
    <s v="5-11"/>
    <n v="185"/>
    <s v="9 ¼"/>
    <n v="31"/>
    <n v="4.32"/>
    <n v="1.51"/>
    <n v="37.5"/>
    <s v="10-8"/>
    <n v="7.2"/>
    <m/>
    <n v="13"/>
    <m/>
    <m/>
    <m/>
  </r>
  <r>
    <x v="8"/>
    <x v="6"/>
    <m/>
    <s v="Anez Cooper"/>
    <x v="1"/>
    <s v="6-6"/>
    <n v="334"/>
    <n v="10"/>
    <n v="34"/>
    <m/>
    <m/>
    <m/>
    <m/>
    <m/>
    <m/>
    <m/>
    <s v="No"/>
    <s v="Medium"/>
    <s v="Power IOL does a job"/>
  </r>
  <r>
    <x v="9"/>
    <x v="6"/>
    <m/>
    <s v="Gary Smith III"/>
    <x v="61"/>
    <s v="6-1"/>
    <n v="319"/>
    <s v="9⅝"/>
    <s v="32⅝"/>
    <m/>
    <m/>
    <n v="28"/>
    <m/>
    <m/>
    <m/>
    <m/>
    <m/>
    <m/>
    <m/>
  </r>
  <r>
    <x v="6"/>
    <x v="6"/>
    <m/>
    <s v="Kevin Coleman Jr."/>
    <x v="31"/>
    <s v="5-10 ¼"/>
    <n v="179"/>
    <s v="9 ½"/>
    <n v="30"/>
    <n v="4.49"/>
    <n v="1.62"/>
    <n v="38.5"/>
    <s v="10-6"/>
    <m/>
    <m/>
    <m/>
    <m/>
    <m/>
    <m/>
  </r>
  <r>
    <x v="10"/>
    <x v="6"/>
    <m/>
    <s v="Joe Fagnano"/>
    <x v="35"/>
    <s v="6-3 ¼"/>
    <n v="226"/>
    <s v="9 ¼"/>
    <s v="31 ⅜"/>
    <n v="4.83"/>
    <n v="1.67"/>
    <n v="35"/>
    <s v="9-10"/>
    <m/>
    <n v="4.3499999999999996"/>
    <m/>
    <m/>
    <m/>
    <m/>
  </r>
  <r>
    <x v="6"/>
    <x v="6"/>
    <m/>
    <s v="Malik Benson"/>
    <x v="8"/>
    <m/>
    <n v="189"/>
    <s v="8 ⅝"/>
    <s v="31 ⅞"/>
    <n v="4.37"/>
    <n v="1.55"/>
    <n v="32.5"/>
    <s v="10-2"/>
    <m/>
    <m/>
    <m/>
    <m/>
    <m/>
    <m/>
  </r>
  <r>
    <x v="6"/>
    <x v="6"/>
    <m/>
    <s v="Jordan Hudson"/>
    <x v="72"/>
    <m/>
    <n v="191"/>
    <s v="9 ¼"/>
    <s v="31 ⅛"/>
    <m/>
    <m/>
    <m/>
    <m/>
    <m/>
    <m/>
    <m/>
    <m/>
    <m/>
    <m/>
  </r>
  <r>
    <x v="1"/>
    <x v="6"/>
    <m/>
    <s v="Nyjalik Kelly"/>
    <x v="21"/>
    <s v="6-5"/>
    <n v="256"/>
    <s v="10⅜"/>
    <s v="35⅛"/>
    <n v="4.88"/>
    <n v="1.69"/>
    <n v="37"/>
    <s v="9-11"/>
    <n v="7.62"/>
    <n v="4.76"/>
    <m/>
    <m/>
    <s v="Medium"/>
    <m/>
  </r>
  <r>
    <x v="4"/>
    <x v="6"/>
    <m/>
    <s v="Louis Moore"/>
    <x v="15"/>
    <s v="5-11"/>
    <n v="191"/>
    <s v="9 ⅞"/>
    <s v="29 ½"/>
    <m/>
    <m/>
    <m/>
    <m/>
    <m/>
    <m/>
    <m/>
    <m/>
    <m/>
    <s v="Physical safety (who isn't on IU) but didn't see a ton of plays"/>
  </r>
  <r>
    <x v="4"/>
    <x v="6"/>
    <m/>
    <s v="Jalen Huskey"/>
    <x v="51"/>
    <s v="6-1"/>
    <n v="196"/>
    <s v="10 ¼"/>
    <s v="30 ⅞"/>
    <m/>
    <m/>
    <m/>
    <m/>
    <m/>
    <m/>
    <m/>
    <m/>
    <m/>
    <m/>
  </r>
  <r>
    <x v="5"/>
    <x v="6"/>
    <m/>
    <s v="Scooby Williams"/>
    <x v="9"/>
    <s v="6-2"/>
    <n v="231"/>
    <s v="9¼"/>
    <n v="32"/>
    <m/>
    <m/>
    <m/>
    <m/>
    <m/>
    <m/>
    <m/>
    <m/>
    <m/>
    <m/>
  </r>
  <r>
    <x v="7"/>
    <x v="6"/>
    <m/>
    <s v="Lake McRee"/>
    <x v="11"/>
    <s v="6-4"/>
    <n v="243"/>
    <s v="9 ¼"/>
    <s v="31 ½"/>
    <m/>
    <m/>
    <m/>
    <m/>
    <m/>
    <m/>
    <m/>
    <m/>
    <m/>
    <m/>
  </r>
  <r>
    <x v="2"/>
    <x v="6"/>
    <m/>
    <s v="Chris Adams"/>
    <x v="73"/>
    <s v="6-5"/>
    <n v="311"/>
    <s v="10⅜"/>
    <s v="33⅝"/>
    <m/>
    <m/>
    <m/>
    <m/>
    <m/>
    <m/>
    <m/>
    <m/>
    <m/>
    <m/>
  </r>
  <r>
    <x v="1"/>
    <x v="6"/>
    <m/>
    <s v="Aidan Hubbard"/>
    <x v="43"/>
    <s v="6-4 ⅝"/>
    <n v="260"/>
    <s v="9⅛"/>
    <n v="32"/>
    <m/>
    <m/>
    <m/>
    <m/>
    <m/>
    <m/>
    <n v="21"/>
    <m/>
    <m/>
    <m/>
  </r>
  <r>
    <x v="5"/>
    <x v="6"/>
    <m/>
    <s v="Lander Barton"/>
    <x v="2"/>
    <s v="6-5"/>
    <n v="233"/>
    <s v="9½"/>
    <s v="32¼"/>
    <m/>
    <m/>
    <m/>
    <m/>
    <m/>
    <m/>
    <m/>
    <m/>
    <m/>
    <m/>
  </r>
  <r>
    <x v="10"/>
    <x v="6"/>
    <m/>
    <s v="Diego Pavia"/>
    <x v="34"/>
    <s v="5-10"/>
    <n v="207"/>
    <s v="9 ⅝"/>
    <s v="28 ⅝"/>
    <m/>
    <m/>
    <m/>
    <m/>
    <m/>
    <m/>
    <m/>
    <m/>
    <m/>
    <m/>
  </r>
  <r>
    <x v="0"/>
    <x v="6"/>
    <m/>
    <s v="Max Bredeson"/>
    <x v="38"/>
    <s v="6-2"/>
    <n v="252"/>
    <n v="10"/>
    <s v="30 ⅛"/>
    <m/>
    <m/>
    <m/>
    <m/>
    <m/>
    <m/>
    <m/>
    <s v="Maybe"/>
    <m/>
    <s v="Fullback, good blocker, good size"/>
  </r>
  <r>
    <x v="2"/>
    <x v="6"/>
    <m/>
    <s v="Keagen Trost"/>
    <x v="31"/>
    <s v="6-5"/>
    <n v="311"/>
    <s v="9¼"/>
    <s v="32⅜"/>
    <m/>
    <m/>
    <n v="31"/>
    <m/>
    <m/>
    <m/>
    <m/>
    <m/>
    <m/>
    <m/>
  </r>
  <r>
    <x v="6"/>
    <x v="6"/>
    <m/>
    <s v="Caleb Douglas"/>
    <x v="5"/>
    <s v="6-3 ½"/>
    <n v="206"/>
    <s v="10 ⅛"/>
    <s v="32 ½"/>
    <n v="4.3899999999999997"/>
    <n v="1.55"/>
    <n v="31.5"/>
    <s v="10-6"/>
    <m/>
    <m/>
    <m/>
    <s v="No"/>
    <m/>
    <s v="Wasn't very impressed"/>
  </r>
  <r>
    <x v="0"/>
    <x v="6"/>
    <m/>
    <s v="Desmond Reid"/>
    <x v="37"/>
    <s v="5-6"/>
    <n v="174"/>
    <s v="8 ¼"/>
    <s v="28 ⅛"/>
    <m/>
    <m/>
    <m/>
    <m/>
    <m/>
    <m/>
    <m/>
    <m/>
    <m/>
    <s v="Super small guy"/>
  </r>
  <r>
    <x v="3"/>
    <x v="6"/>
    <m/>
    <s v="Domani Jackson"/>
    <x v="16"/>
    <s v="6-1"/>
    <n v="189"/>
    <s v="8 ⅝"/>
    <s v="30 ⅝"/>
    <m/>
    <m/>
    <n v="41"/>
    <s v="10-11"/>
    <m/>
    <m/>
    <m/>
    <s v="No"/>
    <m/>
    <s v="Good athlete, benched at one point for play responded nicely, not super impressed"/>
  </r>
  <r>
    <x v="3"/>
    <x v="6"/>
    <m/>
    <s v="Ahmari Harvey"/>
    <x v="26"/>
    <s v="5-11"/>
    <n v="187"/>
    <s v="9 ⅝"/>
    <n v="30"/>
    <m/>
    <m/>
    <m/>
    <m/>
    <m/>
    <m/>
    <n v="15"/>
    <m/>
    <m/>
    <m/>
  </r>
  <r>
    <x v="2"/>
    <x v="6"/>
    <m/>
    <s v="Fa'alili Fa'amoe"/>
    <x v="57"/>
    <s v="6-5"/>
    <n v="311"/>
    <s v="10⅝"/>
    <s v="33⅞"/>
    <m/>
    <m/>
    <n v="28.5"/>
    <s v="8-8"/>
    <m/>
    <m/>
    <m/>
    <m/>
    <m/>
    <m/>
  </r>
  <r>
    <x v="1"/>
    <x v="6"/>
    <m/>
    <s v="Quintayvious Hutchins"/>
    <x v="59"/>
    <s v="6-3"/>
    <n v="233"/>
    <s v="9½"/>
    <s v="32⅝"/>
    <n v="4.74"/>
    <n v="1.73"/>
    <n v="37"/>
    <m/>
    <m/>
    <m/>
    <m/>
    <m/>
    <m/>
    <m/>
  </r>
  <r>
    <x v="1"/>
    <x v="6"/>
    <m/>
    <s v="Wesley Williams"/>
    <x v="28"/>
    <s v="6-4"/>
    <n v="256"/>
    <s v="9½"/>
    <s v="31⅞"/>
    <n v="4.8899999999999997"/>
    <n v="1.68"/>
    <n v="35.5"/>
    <s v="10-1"/>
    <m/>
    <m/>
    <m/>
    <m/>
    <m/>
    <m/>
  </r>
  <r>
    <x v="6"/>
    <x v="6"/>
    <m/>
    <s v="Reggie Virgil"/>
    <x v="5"/>
    <m/>
    <n v="187"/>
    <s v="9 ¼"/>
    <s v="31 ¼"/>
    <n v="4.57"/>
    <n v="1.58"/>
    <n v="36"/>
    <s v="10-7"/>
    <m/>
    <m/>
    <m/>
    <s v="No"/>
    <m/>
    <s v="TT speed guy, doesn't show up at combine, small frame, gadget player?"/>
  </r>
  <r>
    <x v="7"/>
    <x v="6"/>
    <m/>
    <s v="John Michael Gyllenborg"/>
    <x v="75"/>
    <s v="6-5 ¾"/>
    <n v="249"/>
    <n v="10"/>
    <n v="31"/>
    <n v="4.5999999999999996"/>
    <n v="1.6"/>
    <n v="35.5"/>
    <s v="10-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22FFB-602E-48D7-A107-1D0C2BA1A34F}" name="PivotTable2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3:E39" firstHeaderRow="1" firstDataRow="1" firstDataCol="1" rowPageCount="1" colPageCount="1"/>
  <pivotFields count="24">
    <pivotField axis="axisPage" showAll="0" defaultSubtotal="0">
      <items count="12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 defaultSubtotal="0"/>
    <pivotField axis="axisRow" showAll="0" sortType="ascending" defaultSubtotal="0">
      <items count="313">
        <item x="85"/>
        <item x="197"/>
        <item x="272"/>
        <item x="164"/>
        <item x="271"/>
        <item x="307"/>
        <item x="299"/>
        <item x="222"/>
        <item x="28"/>
        <item x="144"/>
        <item x="161"/>
        <item x="138"/>
        <item x="236"/>
        <item x="287"/>
        <item x="41"/>
        <item x="58"/>
        <item x="94"/>
        <item x="180"/>
        <item x="9"/>
        <item x="213"/>
        <item x="232"/>
        <item x="14"/>
        <item x="145"/>
        <item x="252"/>
        <item x="188"/>
        <item x="281"/>
        <item x="127"/>
        <item x="132"/>
        <item x="35"/>
        <item x="276"/>
        <item x="31"/>
        <item x="102"/>
        <item x="195"/>
        <item x="105"/>
        <item x="122"/>
        <item x="72"/>
        <item x="269"/>
        <item x="50"/>
        <item x="137"/>
        <item x="178"/>
        <item x="46"/>
        <item x="304"/>
        <item x="4"/>
        <item x="11"/>
        <item x="96"/>
        <item x="229"/>
        <item x="23"/>
        <item x="158"/>
        <item x="261"/>
        <item x="13"/>
        <item x="266"/>
        <item x="116"/>
        <item x="136"/>
        <item x="66"/>
        <item x="256"/>
        <item x="298"/>
        <item x="57"/>
        <item x="62"/>
        <item x="254"/>
        <item x="26"/>
        <item x="107"/>
        <item x="36"/>
        <item x="53"/>
        <item x="282"/>
        <item x="163"/>
        <item x="192"/>
        <item x="95"/>
        <item x="285"/>
        <item x="22"/>
        <item x="141"/>
        <item x="259"/>
        <item x="219"/>
        <item x="226"/>
        <item x="51"/>
        <item x="167"/>
        <item x="42"/>
        <item x="64"/>
        <item x="153"/>
        <item x="5"/>
        <item x="205"/>
        <item x="45"/>
        <item x="92"/>
        <item x="81"/>
        <item x="154"/>
        <item x="143"/>
        <item x="27"/>
        <item x="159"/>
        <item x="97"/>
        <item x="225"/>
        <item x="305"/>
        <item x="279"/>
        <item x="231"/>
        <item x="83"/>
        <item x="301"/>
        <item x="176"/>
        <item x="191"/>
        <item x="12"/>
        <item x="200"/>
        <item x="184"/>
        <item x="267"/>
        <item x="306"/>
        <item x="152"/>
        <item x="283"/>
        <item x="119"/>
        <item x="134"/>
        <item x="251"/>
        <item x="214"/>
        <item x="255"/>
        <item x="70"/>
        <item x="135"/>
        <item x="260"/>
        <item x="40"/>
        <item x="37"/>
        <item x="63"/>
        <item x="183"/>
        <item x="103"/>
        <item x="210"/>
        <item x="157"/>
        <item x="193"/>
        <item x="185"/>
        <item x="308"/>
        <item x="186"/>
        <item x="190"/>
        <item x="29"/>
        <item x="7"/>
        <item x="82"/>
        <item x="194"/>
        <item x="109"/>
        <item x="288"/>
        <item x="124"/>
        <item x="30"/>
        <item x="241"/>
        <item x="100"/>
        <item x="118"/>
        <item x="76"/>
        <item x="196"/>
        <item x="247"/>
        <item x="39"/>
        <item x="257"/>
        <item x="86"/>
        <item x="151"/>
        <item x="139"/>
        <item x="237"/>
        <item x="227"/>
        <item x="59"/>
        <item x="32"/>
        <item x="111"/>
        <item x="201"/>
        <item x="189"/>
        <item x="88"/>
        <item x="121"/>
        <item x="84"/>
        <item x="182"/>
        <item x="104"/>
        <item x="89"/>
        <item x="295"/>
        <item x="258"/>
        <item x="250"/>
        <item x="170"/>
        <item x="212"/>
        <item x="174"/>
        <item x="286"/>
        <item x="181"/>
        <item x="142"/>
        <item x="0"/>
        <item x="8"/>
        <item x="74"/>
        <item x="224"/>
        <item x="290"/>
        <item x="216"/>
        <item x="133"/>
        <item x="312"/>
        <item x="87"/>
        <item x="292"/>
        <item x="16"/>
        <item x="173"/>
        <item x="215"/>
        <item x="275"/>
        <item x="69"/>
        <item x="56"/>
        <item x="207"/>
        <item x="117"/>
        <item x="221"/>
        <item x="253"/>
        <item x="155"/>
        <item x="25"/>
        <item x="125"/>
        <item x="203"/>
        <item x="228"/>
        <item x="78"/>
        <item x="147"/>
        <item x="21"/>
        <item x="169"/>
        <item x="18"/>
        <item x="303"/>
        <item x="65"/>
        <item x="67"/>
        <item x="20"/>
        <item x="77"/>
        <item x="264"/>
        <item x="17"/>
        <item x="289"/>
        <item x="48"/>
        <item x="101"/>
        <item x="123"/>
        <item x="242"/>
        <item x="73"/>
        <item x="297"/>
        <item x="300"/>
        <item x="230"/>
        <item x="112"/>
        <item x="162"/>
        <item x="238"/>
        <item x="61"/>
        <item x="172"/>
        <item x="265"/>
        <item x="294"/>
        <item x="179"/>
        <item x="244"/>
        <item x="15"/>
        <item x="156"/>
        <item x="38"/>
        <item x="291"/>
        <item x="113"/>
        <item x="3"/>
        <item x="235"/>
        <item x="220"/>
        <item x="120"/>
        <item x="106"/>
        <item x="149"/>
        <item x="198"/>
        <item x="262"/>
        <item x="302"/>
        <item x="49"/>
        <item x="175"/>
        <item x="79"/>
        <item x="140"/>
        <item x="284"/>
        <item x="110"/>
        <item x="54"/>
        <item x="270"/>
        <item x="10"/>
        <item x="160"/>
        <item x="202"/>
        <item x="217"/>
        <item x="108"/>
        <item x="240"/>
        <item x="208"/>
        <item x="293"/>
        <item x="19"/>
        <item x="24"/>
        <item x="93"/>
        <item x="177"/>
        <item x="90"/>
        <item x="204"/>
        <item x="239"/>
        <item x="34"/>
        <item x="309"/>
        <item x="99"/>
        <item x="187"/>
        <item x="128"/>
        <item x="148"/>
        <item x="311"/>
        <item x="249"/>
        <item x="263"/>
        <item x="223"/>
        <item x="218"/>
        <item x="211"/>
        <item x="43"/>
        <item x="1"/>
        <item x="146"/>
        <item x="199"/>
        <item x="246"/>
        <item x="296"/>
        <item x="115"/>
        <item x="71"/>
        <item x="129"/>
        <item x="6"/>
        <item x="2"/>
        <item x="60"/>
        <item x="130"/>
        <item x="248"/>
        <item x="75"/>
        <item x="245"/>
        <item x="131"/>
        <item x="233"/>
        <item x="91"/>
        <item x="126"/>
        <item x="234"/>
        <item x="273"/>
        <item x="166"/>
        <item x="98"/>
        <item x="55"/>
        <item x="33"/>
        <item x="280"/>
        <item x="206"/>
        <item x="52"/>
        <item x="150"/>
        <item x="171"/>
        <item x="277"/>
        <item x="278"/>
        <item x="310"/>
        <item x="243"/>
        <item x="68"/>
        <item x="274"/>
        <item x="209"/>
        <item x="44"/>
        <item x="47"/>
        <item x="114"/>
        <item x="268"/>
        <item x="80"/>
        <item x="165"/>
        <item x="1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3"/>
  </rowFields>
  <rowItems count="36">
    <i>
      <x/>
    </i>
    <i r="1">
      <x v="219"/>
    </i>
    <i r="1">
      <x v="174"/>
    </i>
    <i r="1">
      <x v="193"/>
    </i>
    <i>
      <x v="1"/>
    </i>
    <i r="1">
      <x v="46"/>
    </i>
    <i r="1">
      <x v="250"/>
    </i>
    <i r="1">
      <x v="85"/>
    </i>
    <i r="1">
      <x v="306"/>
    </i>
    <i>
      <x v="2"/>
    </i>
    <i r="1">
      <x v="56"/>
    </i>
    <i r="1">
      <x v="57"/>
    </i>
    <i r="1">
      <x v="275"/>
    </i>
    <i r="1">
      <x v="35"/>
    </i>
    <i>
      <x v="3"/>
    </i>
    <i r="1">
      <x v="82"/>
    </i>
    <i r="1">
      <x v="92"/>
    </i>
    <i r="1">
      <x v="16"/>
    </i>
    <i r="1">
      <x v="132"/>
    </i>
    <i r="1">
      <x v="153"/>
    </i>
    <i>
      <x v="4"/>
    </i>
    <i r="1">
      <x v="284"/>
    </i>
    <i r="1">
      <x v="109"/>
    </i>
    <i r="1">
      <x v="22"/>
    </i>
    <i r="1">
      <x v="297"/>
    </i>
    <i r="1">
      <x v="184"/>
    </i>
    <i r="1">
      <x v="117"/>
    </i>
    <i r="1">
      <x v="220"/>
    </i>
    <i>
      <x v="5"/>
    </i>
    <i r="1">
      <x v="175"/>
    </i>
    <i r="1">
      <x v="162"/>
    </i>
    <i r="1">
      <x v="118"/>
    </i>
    <i r="1">
      <x v="135"/>
    </i>
    <i r="1">
      <x v="65"/>
    </i>
    <i r="1">
      <x v="32"/>
    </i>
    <i r="1">
      <x v="95"/>
    </i>
  </rowItems>
  <colItems count="1">
    <i/>
  </colItems>
  <pageFields count="1">
    <pageField fld="0" item="10" hier="-1"/>
  </pageField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85DE0-A398-46C4-9BC6-AEF5FDE639B7}" name="PivotTable1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29" firstHeaderRow="1" firstDataRow="1" firstDataCol="1" rowPageCount="1" colPageCount="1"/>
  <pivotFields count="24">
    <pivotField axis="axisPage" showAll="0" defaultSubtotal="0">
      <items count="12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 defaultSubtotal="0"/>
    <pivotField axis="axisRow" showAll="0" sortType="ascending" defaultSubtotal="0">
      <items count="313">
        <item x="85"/>
        <item x="197"/>
        <item x="272"/>
        <item x="164"/>
        <item x="271"/>
        <item x="307"/>
        <item x="299"/>
        <item x="222"/>
        <item x="28"/>
        <item x="144"/>
        <item x="161"/>
        <item x="138"/>
        <item x="236"/>
        <item x="287"/>
        <item x="41"/>
        <item x="58"/>
        <item x="94"/>
        <item x="180"/>
        <item x="9"/>
        <item x="213"/>
        <item x="232"/>
        <item x="14"/>
        <item x="145"/>
        <item x="252"/>
        <item x="188"/>
        <item x="281"/>
        <item x="127"/>
        <item x="132"/>
        <item x="35"/>
        <item x="276"/>
        <item x="31"/>
        <item x="102"/>
        <item x="195"/>
        <item x="105"/>
        <item x="122"/>
        <item x="72"/>
        <item x="269"/>
        <item x="50"/>
        <item x="137"/>
        <item x="178"/>
        <item x="46"/>
        <item x="304"/>
        <item x="4"/>
        <item x="11"/>
        <item x="96"/>
        <item x="229"/>
        <item x="23"/>
        <item x="158"/>
        <item x="261"/>
        <item x="13"/>
        <item x="266"/>
        <item x="116"/>
        <item x="136"/>
        <item x="66"/>
        <item x="256"/>
        <item x="298"/>
        <item x="57"/>
        <item x="62"/>
        <item x="254"/>
        <item x="26"/>
        <item x="107"/>
        <item x="36"/>
        <item x="53"/>
        <item x="282"/>
        <item x="163"/>
        <item x="192"/>
        <item x="95"/>
        <item x="285"/>
        <item x="22"/>
        <item x="141"/>
        <item x="259"/>
        <item x="219"/>
        <item x="226"/>
        <item x="51"/>
        <item x="167"/>
        <item x="42"/>
        <item x="64"/>
        <item x="153"/>
        <item x="5"/>
        <item x="205"/>
        <item x="45"/>
        <item x="92"/>
        <item x="81"/>
        <item x="154"/>
        <item x="143"/>
        <item x="27"/>
        <item x="159"/>
        <item x="97"/>
        <item x="225"/>
        <item x="305"/>
        <item x="279"/>
        <item x="231"/>
        <item x="83"/>
        <item x="301"/>
        <item x="176"/>
        <item x="191"/>
        <item x="12"/>
        <item x="200"/>
        <item x="184"/>
        <item x="267"/>
        <item x="306"/>
        <item x="152"/>
        <item x="283"/>
        <item x="119"/>
        <item x="134"/>
        <item x="251"/>
        <item x="214"/>
        <item x="255"/>
        <item x="70"/>
        <item x="135"/>
        <item x="260"/>
        <item x="40"/>
        <item x="37"/>
        <item x="63"/>
        <item x="183"/>
        <item x="103"/>
        <item x="210"/>
        <item x="157"/>
        <item x="193"/>
        <item x="185"/>
        <item x="308"/>
        <item x="186"/>
        <item x="190"/>
        <item x="29"/>
        <item x="7"/>
        <item x="82"/>
        <item x="194"/>
        <item x="109"/>
        <item x="288"/>
        <item x="124"/>
        <item x="30"/>
        <item x="241"/>
        <item x="100"/>
        <item x="118"/>
        <item x="76"/>
        <item x="196"/>
        <item x="247"/>
        <item x="39"/>
        <item x="257"/>
        <item x="86"/>
        <item x="151"/>
        <item x="139"/>
        <item x="237"/>
        <item x="227"/>
        <item x="59"/>
        <item x="32"/>
        <item x="111"/>
        <item x="201"/>
        <item x="189"/>
        <item x="88"/>
        <item x="121"/>
        <item x="84"/>
        <item x="182"/>
        <item x="104"/>
        <item x="89"/>
        <item x="295"/>
        <item x="258"/>
        <item x="250"/>
        <item x="170"/>
        <item x="212"/>
        <item x="174"/>
        <item x="286"/>
        <item x="181"/>
        <item x="142"/>
        <item x="0"/>
        <item x="8"/>
        <item x="74"/>
        <item x="224"/>
        <item x="290"/>
        <item x="216"/>
        <item x="133"/>
        <item x="312"/>
        <item x="87"/>
        <item x="292"/>
        <item x="16"/>
        <item x="173"/>
        <item x="215"/>
        <item x="275"/>
        <item x="69"/>
        <item x="56"/>
        <item x="207"/>
        <item x="117"/>
        <item x="221"/>
        <item x="253"/>
        <item x="155"/>
        <item x="25"/>
        <item x="125"/>
        <item x="203"/>
        <item x="228"/>
        <item x="78"/>
        <item x="147"/>
        <item x="21"/>
        <item x="169"/>
        <item x="18"/>
        <item x="303"/>
        <item x="65"/>
        <item x="67"/>
        <item x="20"/>
        <item x="77"/>
        <item x="264"/>
        <item x="17"/>
        <item x="289"/>
        <item x="48"/>
        <item x="101"/>
        <item x="123"/>
        <item x="242"/>
        <item x="73"/>
        <item x="297"/>
        <item x="300"/>
        <item x="230"/>
        <item x="112"/>
        <item x="162"/>
        <item x="238"/>
        <item x="61"/>
        <item x="172"/>
        <item x="265"/>
        <item x="294"/>
        <item x="179"/>
        <item x="244"/>
        <item x="15"/>
        <item x="156"/>
        <item x="38"/>
        <item x="291"/>
        <item x="113"/>
        <item x="3"/>
        <item x="235"/>
        <item x="220"/>
        <item x="120"/>
        <item x="106"/>
        <item x="149"/>
        <item x="198"/>
        <item x="262"/>
        <item x="302"/>
        <item x="49"/>
        <item x="175"/>
        <item x="79"/>
        <item x="140"/>
        <item x="284"/>
        <item x="110"/>
        <item x="54"/>
        <item x="270"/>
        <item x="10"/>
        <item x="160"/>
        <item x="202"/>
        <item x="217"/>
        <item x="108"/>
        <item x="240"/>
        <item x="208"/>
        <item x="293"/>
        <item x="19"/>
        <item x="24"/>
        <item x="93"/>
        <item x="177"/>
        <item x="90"/>
        <item x="204"/>
        <item x="239"/>
        <item x="34"/>
        <item x="309"/>
        <item x="99"/>
        <item x="187"/>
        <item x="128"/>
        <item x="148"/>
        <item x="311"/>
        <item x="249"/>
        <item x="263"/>
        <item x="223"/>
        <item x="218"/>
        <item x="211"/>
        <item x="43"/>
        <item x="1"/>
        <item x="146"/>
        <item x="199"/>
        <item x="246"/>
        <item x="296"/>
        <item x="115"/>
        <item x="71"/>
        <item x="129"/>
        <item x="6"/>
        <item x="2"/>
        <item x="60"/>
        <item x="130"/>
        <item x="248"/>
        <item x="75"/>
        <item x="245"/>
        <item x="131"/>
        <item x="233"/>
        <item x="91"/>
        <item x="126"/>
        <item x="234"/>
        <item x="273"/>
        <item x="166"/>
        <item x="98"/>
        <item x="55"/>
        <item x="33"/>
        <item x="280"/>
        <item x="206"/>
        <item x="52"/>
        <item x="150"/>
        <item x="171"/>
        <item x="277"/>
        <item x="278"/>
        <item x="310"/>
        <item x="243"/>
        <item x="68"/>
        <item x="274"/>
        <item x="209"/>
        <item x="44"/>
        <item x="47"/>
        <item x="114"/>
        <item x="268"/>
        <item x="80"/>
        <item x="165"/>
        <item x="1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3"/>
  </rowFields>
  <rowItems count="26">
    <i>
      <x/>
    </i>
    <i r="1">
      <x v="164"/>
    </i>
    <i>
      <x v="1"/>
    </i>
    <i r="1">
      <x v="145"/>
    </i>
    <i>
      <x v="2"/>
    </i>
    <i r="1">
      <x v="239"/>
    </i>
    <i r="1">
      <x v="113"/>
    </i>
    <i>
      <x v="3"/>
    </i>
    <i r="1">
      <x v="172"/>
    </i>
    <i r="1">
      <x v="245"/>
    </i>
    <i r="1">
      <x v="274"/>
    </i>
    <i>
      <x v="4"/>
    </i>
    <i r="1">
      <x v="83"/>
    </i>
    <i r="1">
      <x v="211"/>
    </i>
    <i r="1">
      <x v="3"/>
    </i>
    <i r="1">
      <x v="64"/>
    </i>
    <i r="1">
      <x v="312"/>
    </i>
    <i r="1">
      <x v="192"/>
    </i>
    <i>
      <x v="5"/>
    </i>
    <i r="1">
      <x v="259"/>
    </i>
    <i r="1">
      <x v="247"/>
    </i>
    <i r="1">
      <x v="267"/>
    </i>
    <i r="1">
      <x v="159"/>
    </i>
    <i r="1">
      <x v="106"/>
    </i>
    <i r="1">
      <x v="265"/>
    </i>
    <i r="1">
      <x v="167"/>
    </i>
  </rowItems>
  <colItems count="1">
    <i/>
  </colItems>
  <pageFields count="1">
    <pageField fld="0" item="7" hier="-1"/>
  </pageField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A23C4-1106-486B-BB44-4D74DD5112FF}" name="PivotTable6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P3:Q14" firstHeaderRow="1" firstDataRow="1" firstDataCol="1" rowPageCount="1" colPageCount="1"/>
  <pivotFields count="24">
    <pivotField axis="axisPage" showAll="0" defaultSubtotal="0">
      <items count="12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 defaultSubtotal="0"/>
    <pivotField axis="axisRow" showAll="0" sortType="ascending" defaultSubtotal="0">
      <items count="313">
        <item x="85"/>
        <item x="197"/>
        <item x="272"/>
        <item x="164"/>
        <item x="271"/>
        <item x="307"/>
        <item x="299"/>
        <item x="222"/>
        <item x="28"/>
        <item x="144"/>
        <item x="161"/>
        <item x="138"/>
        <item x="236"/>
        <item x="287"/>
        <item x="41"/>
        <item x="58"/>
        <item x="94"/>
        <item x="180"/>
        <item x="9"/>
        <item x="213"/>
        <item x="232"/>
        <item x="14"/>
        <item x="145"/>
        <item x="252"/>
        <item x="188"/>
        <item x="281"/>
        <item x="127"/>
        <item x="132"/>
        <item x="35"/>
        <item x="276"/>
        <item x="31"/>
        <item x="102"/>
        <item x="195"/>
        <item x="105"/>
        <item x="122"/>
        <item x="72"/>
        <item x="269"/>
        <item x="50"/>
        <item x="137"/>
        <item x="178"/>
        <item x="46"/>
        <item x="304"/>
        <item x="4"/>
        <item x="11"/>
        <item x="96"/>
        <item x="229"/>
        <item x="23"/>
        <item x="158"/>
        <item x="261"/>
        <item x="13"/>
        <item x="266"/>
        <item x="116"/>
        <item x="136"/>
        <item x="66"/>
        <item x="256"/>
        <item x="298"/>
        <item x="57"/>
        <item x="62"/>
        <item x="254"/>
        <item x="26"/>
        <item x="107"/>
        <item x="36"/>
        <item x="53"/>
        <item x="282"/>
        <item x="163"/>
        <item x="192"/>
        <item x="95"/>
        <item x="285"/>
        <item x="22"/>
        <item x="141"/>
        <item x="259"/>
        <item x="219"/>
        <item x="226"/>
        <item x="51"/>
        <item x="167"/>
        <item x="42"/>
        <item x="64"/>
        <item x="153"/>
        <item x="5"/>
        <item x="205"/>
        <item x="45"/>
        <item x="92"/>
        <item x="81"/>
        <item x="154"/>
        <item x="143"/>
        <item x="27"/>
        <item x="159"/>
        <item x="97"/>
        <item x="225"/>
        <item x="305"/>
        <item x="279"/>
        <item x="231"/>
        <item x="83"/>
        <item x="301"/>
        <item x="176"/>
        <item x="191"/>
        <item x="12"/>
        <item x="200"/>
        <item x="184"/>
        <item x="267"/>
        <item x="306"/>
        <item x="152"/>
        <item x="283"/>
        <item x="119"/>
        <item x="134"/>
        <item x="251"/>
        <item x="214"/>
        <item x="255"/>
        <item x="70"/>
        <item x="135"/>
        <item x="260"/>
        <item x="40"/>
        <item x="37"/>
        <item x="63"/>
        <item x="183"/>
        <item x="103"/>
        <item x="210"/>
        <item x="157"/>
        <item x="193"/>
        <item x="185"/>
        <item x="308"/>
        <item x="186"/>
        <item x="190"/>
        <item x="29"/>
        <item x="7"/>
        <item x="82"/>
        <item x="194"/>
        <item x="109"/>
        <item x="288"/>
        <item x="124"/>
        <item x="30"/>
        <item x="241"/>
        <item x="100"/>
        <item x="118"/>
        <item x="76"/>
        <item x="196"/>
        <item x="247"/>
        <item x="39"/>
        <item x="257"/>
        <item x="86"/>
        <item x="151"/>
        <item x="139"/>
        <item x="237"/>
        <item x="227"/>
        <item x="59"/>
        <item x="32"/>
        <item x="111"/>
        <item x="201"/>
        <item x="189"/>
        <item x="88"/>
        <item x="121"/>
        <item x="84"/>
        <item x="182"/>
        <item x="104"/>
        <item x="89"/>
        <item x="295"/>
        <item x="258"/>
        <item x="250"/>
        <item x="170"/>
        <item x="212"/>
        <item x="174"/>
        <item x="286"/>
        <item x="181"/>
        <item x="142"/>
        <item x="0"/>
        <item x="8"/>
        <item x="74"/>
        <item x="224"/>
        <item x="290"/>
        <item x="216"/>
        <item x="133"/>
        <item x="312"/>
        <item x="87"/>
        <item x="292"/>
        <item x="16"/>
        <item x="173"/>
        <item x="215"/>
        <item x="275"/>
        <item x="69"/>
        <item x="56"/>
        <item x="207"/>
        <item x="117"/>
        <item x="221"/>
        <item x="253"/>
        <item x="155"/>
        <item x="25"/>
        <item x="125"/>
        <item x="203"/>
        <item x="228"/>
        <item x="78"/>
        <item x="147"/>
        <item x="21"/>
        <item x="169"/>
        <item x="18"/>
        <item x="303"/>
        <item x="65"/>
        <item x="67"/>
        <item x="20"/>
        <item x="77"/>
        <item x="264"/>
        <item x="17"/>
        <item x="289"/>
        <item x="48"/>
        <item x="101"/>
        <item x="123"/>
        <item x="242"/>
        <item x="73"/>
        <item x="297"/>
        <item x="300"/>
        <item x="230"/>
        <item x="112"/>
        <item x="162"/>
        <item x="238"/>
        <item x="61"/>
        <item x="172"/>
        <item x="265"/>
        <item x="294"/>
        <item x="179"/>
        <item x="244"/>
        <item x="15"/>
        <item x="156"/>
        <item x="38"/>
        <item x="291"/>
        <item x="113"/>
        <item x="3"/>
        <item x="235"/>
        <item x="220"/>
        <item x="120"/>
        <item x="106"/>
        <item x="149"/>
        <item x="198"/>
        <item x="262"/>
        <item x="302"/>
        <item x="49"/>
        <item x="175"/>
        <item x="79"/>
        <item x="140"/>
        <item x="284"/>
        <item x="110"/>
        <item x="54"/>
        <item x="270"/>
        <item x="10"/>
        <item x="160"/>
        <item x="202"/>
        <item x="217"/>
        <item x="108"/>
        <item x="240"/>
        <item x="208"/>
        <item x="293"/>
        <item x="19"/>
        <item x="24"/>
        <item x="93"/>
        <item x="177"/>
        <item x="90"/>
        <item x="204"/>
        <item x="239"/>
        <item x="34"/>
        <item x="309"/>
        <item x="99"/>
        <item x="187"/>
        <item x="128"/>
        <item x="148"/>
        <item x="311"/>
        <item x="249"/>
        <item x="263"/>
        <item x="223"/>
        <item x="218"/>
        <item x="211"/>
        <item x="43"/>
        <item x="1"/>
        <item x="146"/>
        <item x="199"/>
        <item x="246"/>
        <item x="296"/>
        <item x="115"/>
        <item x="71"/>
        <item x="129"/>
        <item x="6"/>
        <item x="2"/>
        <item x="60"/>
        <item x="130"/>
        <item x="248"/>
        <item x="75"/>
        <item x="245"/>
        <item x="131"/>
        <item x="233"/>
        <item x="91"/>
        <item x="126"/>
        <item x="234"/>
        <item x="273"/>
        <item x="166"/>
        <item x="98"/>
        <item x="55"/>
        <item x="33"/>
        <item x="280"/>
        <item x="206"/>
        <item x="52"/>
        <item x="150"/>
        <item x="171"/>
        <item x="277"/>
        <item x="278"/>
        <item x="310"/>
        <item x="243"/>
        <item x="68"/>
        <item x="274"/>
        <item x="209"/>
        <item x="44"/>
        <item x="47"/>
        <item x="114"/>
        <item x="268"/>
        <item x="80"/>
        <item x="165"/>
        <item x="1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3"/>
  </rowFields>
  <rowItems count="11">
    <i>
      <x v="1"/>
    </i>
    <i r="1">
      <x v="123"/>
    </i>
    <i r="1">
      <x v="293"/>
    </i>
    <i>
      <x v="3"/>
    </i>
    <i r="1">
      <x v="66"/>
    </i>
    <i r="1">
      <x v="127"/>
    </i>
    <i>
      <x v="4"/>
    </i>
    <i r="1">
      <x v="170"/>
    </i>
    <i r="1">
      <x v="38"/>
    </i>
    <i r="1">
      <x v="104"/>
    </i>
    <i r="1">
      <x v="47"/>
    </i>
  </rowItems>
  <colItems count="1">
    <i/>
  </colItems>
  <pageFields count="1">
    <pageField fld="0" item="6" hier="-1"/>
  </pageField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98C6B-E682-46A5-AF6C-87C575937DC4}" name="PivotTable5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M3:N39" firstHeaderRow="1" firstDataRow="1" firstDataCol="1" rowPageCount="1" colPageCount="1"/>
  <pivotFields count="24">
    <pivotField axis="axisPage" showAll="0" defaultSubtotal="0">
      <items count="12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 defaultSubtotal="0"/>
    <pivotField axis="axisRow" showAll="0" sortType="ascending" defaultSubtotal="0">
      <items count="313">
        <item x="85"/>
        <item x="197"/>
        <item x="272"/>
        <item x="164"/>
        <item x="271"/>
        <item x="307"/>
        <item x="299"/>
        <item x="222"/>
        <item x="28"/>
        <item x="144"/>
        <item x="161"/>
        <item x="138"/>
        <item x="236"/>
        <item x="287"/>
        <item x="41"/>
        <item x="58"/>
        <item x="94"/>
        <item x="180"/>
        <item x="9"/>
        <item x="213"/>
        <item x="232"/>
        <item x="14"/>
        <item x="145"/>
        <item x="252"/>
        <item x="188"/>
        <item x="281"/>
        <item x="127"/>
        <item x="132"/>
        <item x="35"/>
        <item x="276"/>
        <item x="31"/>
        <item x="102"/>
        <item x="195"/>
        <item x="105"/>
        <item x="122"/>
        <item x="72"/>
        <item x="269"/>
        <item x="50"/>
        <item x="137"/>
        <item x="178"/>
        <item x="46"/>
        <item x="304"/>
        <item x="4"/>
        <item x="11"/>
        <item x="96"/>
        <item x="229"/>
        <item x="23"/>
        <item x="158"/>
        <item x="261"/>
        <item x="13"/>
        <item x="266"/>
        <item x="116"/>
        <item x="136"/>
        <item x="66"/>
        <item x="256"/>
        <item x="298"/>
        <item x="57"/>
        <item x="62"/>
        <item x="254"/>
        <item x="26"/>
        <item x="107"/>
        <item x="36"/>
        <item x="53"/>
        <item x="282"/>
        <item x="163"/>
        <item x="192"/>
        <item x="95"/>
        <item x="285"/>
        <item x="22"/>
        <item x="141"/>
        <item x="259"/>
        <item x="219"/>
        <item x="226"/>
        <item x="51"/>
        <item x="167"/>
        <item x="42"/>
        <item x="64"/>
        <item x="153"/>
        <item x="5"/>
        <item x="205"/>
        <item x="45"/>
        <item x="92"/>
        <item x="81"/>
        <item x="154"/>
        <item x="143"/>
        <item x="27"/>
        <item x="159"/>
        <item x="97"/>
        <item x="225"/>
        <item x="305"/>
        <item x="279"/>
        <item x="231"/>
        <item x="83"/>
        <item x="301"/>
        <item x="176"/>
        <item x="191"/>
        <item x="12"/>
        <item x="200"/>
        <item x="184"/>
        <item x="267"/>
        <item x="306"/>
        <item x="152"/>
        <item x="283"/>
        <item x="119"/>
        <item x="134"/>
        <item x="251"/>
        <item x="214"/>
        <item x="255"/>
        <item x="70"/>
        <item x="135"/>
        <item x="260"/>
        <item x="40"/>
        <item x="37"/>
        <item x="63"/>
        <item x="183"/>
        <item x="103"/>
        <item x="210"/>
        <item x="157"/>
        <item x="193"/>
        <item x="185"/>
        <item x="308"/>
        <item x="186"/>
        <item x="190"/>
        <item x="29"/>
        <item x="7"/>
        <item x="82"/>
        <item x="194"/>
        <item x="109"/>
        <item x="288"/>
        <item x="124"/>
        <item x="30"/>
        <item x="241"/>
        <item x="100"/>
        <item x="118"/>
        <item x="76"/>
        <item x="196"/>
        <item x="247"/>
        <item x="39"/>
        <item x="257"/>
        <item x="86"/>
        <item x="151"/>
        <item x="139"/>
        <item x="237"/>
        <item x="227"/>
        <item x="59"/>
        <item x="32"/>
        <item x="111"/>
        <item x="201"/>
        <item x="189"/>
        <item x="88"/>
        <item x="121"/>
        <item x="84"/>
        <item x="182"/>
        <item x="104"/>
        <item x="89"/>
        <item x="295"/>
        <item x="258"/>
        <item x="250"/>
        <item x="170"/>
        <item x="212"/>
        <item x="174"/>
        <item x="286"/>
        <item x="181"/>
        <item x="142"/>
        <item x="0"/>
        <item x="8"/>
        <item x="74"/>
        <item x="224"/>
        <item x="290"/>
        <item x="216"/>
        <item x="133"/>
        <item x="312"/>
        <item x="87"/>
        <item x="292"/>
        <item x="16"/>
        <item x="173"/>
        <item x="215"/>
        <item x="275"/>
        <item x="69"/>
        <item x="56"/>
        <item x="207"/>
        <item x="117"/>
        <item x="221"/>
        <item x="253"/>
        <item x="155"/>
        <item x="25"/>
        <item x="125"/>
        <item x="203"/>
        <item x="228"/>
        <item x="78"/>
        <item x="147"/>
        <item x="21"/>
        <item x="169"/>
        <item x="18"/>
        <item x="303"/>
        <item x="65"/>
        <item x="67"/>
        <item x="20"/>
        <item x="77"/>
        <item x="264"/>
        <item x="17"/>
        <item x="289"/>
        <item x="48"/>
        <item x="101"/>
        <item x="123"/>
        <item x="242"/>
        <item x="73"/>
        <item x="297"/>
        <item x="300"/>
        <item x="230"/>
        <item x="112"/>
        <item x="162"/>
        <item x="238"/>
        <item x="61"/>
        <item x="172"/>
        <item x="265"/>
        <item x="294"/>
        <item x="179"/>
        <item x="244"/>
        <item x="15"/>
        <item x="156"/>
        <item x="38"/>
        <item x="291"/>
        <item x="113"/>
        <item x="3"/>
        <item x="235"/>
        <item x="220"/>
        <item x="120"/>
        <item x="106"/>
        <item x="149"/>
        <item x="198"/>
        <item x="262"/>
        <item x="302"/>
        <item x="49"/>
        <item x="175"/>
        <item x="79"/>
        <item x="140"/>
        <item x="284"/>
        <item x="110"/>
        <item x="54"/>
        <item x="270"/>
        <item x="10"/>
        <item x="160"/>
        <item x="202"/>
        <item x="217"/>
        <item x="108"/>
        <item x="240"/>
        <item x="208"/>
        <item x="293"/>
        <item x="19"/>
        <item x="24"/>
        <item x="93"/>
        <item x="177"/>
        <item x="90"/>
        <item x="204"/>
        <item x="239"/>
        <item x="34"/>
        <item x="309"/>
        <item x="99"/>
        <item x="187"/>
        <item x="128"/>
        <item x="148"/>
        <item x="311"/>
        <item x="249"/>
        <item x="263"/>
        <item x="223"/>
        <item x="218"/>
        <item x="211"/>
        <item x="43"/>
        <item x="1"/>
        <item x="146"/>
        <item x="199"/>
        <item x="246"/>
        <item x="296"/>
        <item x="115"/>
        <item x="71"/>
        <item x="129"/>
        <item x="6"/>
        <item x="2"/>
        <item x="60"/>
        <item x="130"/>
        <item x="248"/>
        <item x="75"/>
        <item x="245"/>
        <item x="131"/>
        <item x="233"/>
        <item x="91"/>
        <item x="126"/>
        <item x="234"/>
        <item x="273"/>
        <item x="166"/>
        <item x="98"/>
        <item x="55"/>
        <item x="33"/>
        <item x="280"/>
        <item x="206"/>
        <item x="52"/>
        <item x="150"/>
        <item x="171"/>
        <item x="277"/>
        <item x="278"/>
        <item x="310"/>
        <item x="243"/>
        <item x="68"/>
        <item x="274"/>
        <item x="209"/>
        <item x="44"/>
        <item x="47"/>
        <item x="114"/>
        <item x="268"/>
        <item x="80"/>
        <item x="165"/>
        <item x="1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3"/>
  </rowFields>
  <rowItems count="36">
    <i>
      <x/>
    </i>
    <i r="1">
      <x v="249"/>
    </i>
    <i>
      <x v="1"/>
    </i>
    <i r="1">
      <x v="130"/>
    </i>
    <i r="1">
      <x v="112"/>
    </i>
    <i r="1">
      <x v="202"/>
    </i>
    <i>
      <x v="2"/>
    </i>
    <i r="1">
      <x v="213"/>
    </i>
    <i r="1">
      <x v="53"/>
    </i>
    <i>
      <x v="3"/>
    </i>
    <i r="1">
      <x v="151"/>
    </i>
    <i r="1">
      <x v="154"/>
    </i>
    <i r="1">
      <x v="253"/>
    </i>
    <i r="1">
      <x v="291"/>
    </i>
    <i r="1">
      <x v="33"/>
    </i>
    <i>
      <x v="4"/>
    </i>
    <i r="1">
      <x v="26"/>
    </i>
    <i r="1">
      <x v="11"/>
    </i>
    <i r="1">
      <x v="236"/>
    </i>
    <i r="1">
      <x v="69"/>
    </i>
    <i r="1">
      <x v="163"/>
    </i>
    <i r="1">
      <x v="270"/>
    </i>
    <i>
      <x v="5"/>
    </i>
    <i r="1">
      <x v="214"/>
    </i>
    <i r="1">
      <x v="17"/>
    </i>
    <i r="1">
      <x v="98"/>
    </i>
    <i r="1">
      <x v="119"/>
    </i>
    <i r="1">
      <x v="121"/>
    </i>
    <i r="1">
      <x v="122"/>
    </i>
    <i r="1">
      <x v="148"/>
    </i>
    <i r="1">
      <x v="97"/>
    </i>
    <i r="1">
      <x v="24"/>
    </i>
    <i r="1">
      <x v="147"/>
    </i>
    <i r="1">
      <x v="230"/>
    </i>
    <i r="1">
      <x v="126"/>
    </i>
    <i r="1">
      <x v="254"/>
    </i>
  </rowItems>
  <colItems count="1">
    <i/>
  </colItems>
  <pageFields count="1">
    <pageField fld="0" item="3" hier="-1"/>
  </pageField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16C4E-D8F8-4C84-8C14-6FDB0E1CA412}" name="PivotTable4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3:K27" firstHeaderRow="1" firstDataRow="1" firstDataCol="1" rowPageCount="1" colPageCount="1"/>
  <pivotFields count="24">
    <pivotField axis="axisPage" showAll="0" defaultSubtotal="0">
      <items count="12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 defaultSubtotal="0"/>
    <pivotField axis="axisRow" showAll="0" sortType="ascending" defaultSubtotal="0">
      <items count="313">
        <item x="85"/>
        <item x="197"/>
        <item x="272"/>
        <item x="164"/>
        <item x="271"/>
        <item x="307"/>
        <item x="299"/>
        <item x="222"/>
        <item x="28"/>
        <item x="144"/>
        <item x="161"/>
        <item x="138"/>
        <item x="236"/>
        <item x="287"/>
        <item x="41"/>
        <item x="58"/>
        <item x="94"/>
        <item x="180"/>
        <item x="9"/>
        <item x="213"/>
        <item x="232"/>
        <item x="14"/>
        <item x="145"/>
        <item x="252"/>
        <item x="188"/>
        <item x="281"/>
        <item x="127"/>
        <item x="132"/>
        <item x="35"/>
        <item x="276"/>
        <item x="31"/>
        <item x="102"/>
        <item x="195"/>
        <item x="105"/>
        <item x="122"/>
        <item x="72"/>
        <item x="269"/>
        <item x="50"/>
        <item x="137"/>
        <item x="178"/>
        <item x="46"/>
        <item x="304"/>
        <item x="4"/>
        <item x="11"/>
        <item x="96"/>
        <item x="229"/>
        <item x="23"/>
        <item x="158"/>
        <item x="261"/>
        <item x="13"/>
        <item x="266"/>
        <item x="116"/>
        <item x="136"/>
        <item x="66"/>
        <item x="256"/>
        <item x="298"/>
        <item x="57"/>
        <item x="62"/>
        <item x="254"/>
        <item x="26"/>
        <item x="107"/>
        <item x="36"/>
        <item x="53"/>
        <item x="282"/>
        <item x="163"/>
        <item x="192"/>
        <item x="95"/>
        <item x="285"/>
        <item x="22"/>
        <item x="141"/>
        <item x="259"/>
        <item x="219"/>
        <item x="226"/>
        <item x="51"/>
        <item x="167"/>
        <item x="42"/>
        <item x="64"/>
        <item x="153"/>
        <item x="5"/>
        <item x="205"/>
        <item x="45"/>
        <item x="92"/>
        <item x="81"/>
        <item x="154"/>
        <item x="143"/>
        <item x="27"/>
        <item x="159"/>
        <item x="97"/>
        <item x="225"/>
        <item x="305"/>
        <item x="279"/>
        <item x="231"/>
        <item x="83"/>
        <item x="301"/>
        <item x="176"/>
        <item x="191"/>
        <item x="12"/>
        <item x="200"/>
        <item x="184"/>
        <item x="267"/>
        <item x="306"/>
        <item x="152"/>
        <item x="283"/>
        <item x="119"/>
        <item x="134"/>
        <item x="251"/>
        <item x="214"/>
        <item x="255"/>
        <item x="70"/>
        <item x="135"/>
        <item x="260"/>
        <item x="40"/>
        <item x="37"/>
        <item x="63"/>
        <item x="183"/>
        <item x="103"/>
        <item x="210"/>
        <item x="157"/>
        <item x="193"/>
        <item x="185"/>
        <item x="308"/>
        <item x="186"/>
        <item x="190"/>
        <item x="29"/>
        <item x="7"/>
        <item x="82"/>
        <item x="194"/>
        <item x="109"/>
        <item x="288"/>
        <item x="124"/>
        <item x="30"/>
        <item x="241"/>
        <item x="100"/>
        <item x="118"/>
        <item x="76"/>
        <item x="196"/>
        <item x="247"/>
        <item x="39"/>
        <item x="257"/>
        <item x="86"/>
        <item x="151"/>
        <item x="139"/>
        <item x="237"/>
        <item x="227"/>
        <item x="59"/>
        <item x="32"/>
        <item x="111"/>
        <item x="201"/>
        <item x="189"/>
        <item x="88"/>
        <item x="121"/>
        <item x="84"/>
        <item x="182"/>
        <item x="104"/>
        <item x="89"/>
        <item x="295"/>
        <item x="258"/>
        <item x="250"/>
        <item x="170"/>
        <item x="212"/>
        <item x="174"/>
        <item x="286"/>
        <item x="181"/>
        <item x="142"/>
        <item x="0"/>
        <item x="8"/>
        <item x="74"/>
        <item x="224"/>
        <item x="290"/>
        <item x="216"/>
        <item x="133"/>
        <item x="312"/>
        <item x="87"/>
        <item x="292"/>
        <item x="16"/>
        <item x="173"/>
        <item x="215"/>
        <item x="275"/>
        <item x="69"/>
        <item x="56"/>
        <item x="207"/>
        <item x="117"/>
        <item x="221"/>
        <item x="253"/>
        <item x="155"/>
        <item x="25"/>
        <item x="125"/>
        <item x="203"/>
        <item x="228"/>
        <item x="78"/>
        <item x="147"/>
        <item x="21"/>
        <item x="169"/>
        <item x="18"/>
        <item x="303"/>
        <item x="65"/>
        <item x="67"/>
        <item x="20"/>
        <item x="77"/>
        <item x="264"/>
        <item x="17"/>
        <item x="289"/>
        <item x="48"/>
        <item x="101"/>
        <item x="123"/>
        <item x="242"/>
        <item x="73"/>
        <item x="297"/>
        <item x="300"/>
        <item x="230"/>
        <item x="112"/>
        <item x="162"/>
        <item x="238"/>
        <item x="61"/>
        <item x="172"/>
        <item x="265"/>
        <item x="294"/>
        <item x="179"/>
        <item x="244"/>
        <item x="15"/>
        <item x="156"/>
        <item x="38"/>
        <item x="291"/>
        <item x="113"/>
        <item x="3"/>
        <item x="235"/>
        <item x="220"/>
        <item x="120"/>
        <item x="106"/>
        <item x="149"/>
        <item x="198"/>
        <item x="262"/>
        <item x="302"/>
        <item x="49"/>
        <item x="175"/>
        <item x="79"/>
        <item x="140"/>
        <item x="284"/>
        <item x="110"/>
        <item x="54"/>
        <item x="270"/>
        <item x="10"/>
        <item x="160"/>
        <item x="202"/>
        <item x="217"/>
        <item x="108"/>
        <item x="240"/>
        <item x="208"/>
        <item x="293"/>
        <item x="19"/>
        <item x="24"/>
        <item x="93"/>
        <item x="177"/>
        <item x="90"/>
        <item x="204"/>
        <item x="239"/>
        <item x="34"/>
        <item x="309"/>
        <item x="99"/>
        <item x="187"/>
        <item x="128"/>
        <item x="148"/>
        <item x="311"/>
        <item x="249"/>
        <item x="263"/>
        <item x="223"/>
        <item x="218"/>
        <item x="211"/>
        <item x="43"/>
        <item x="1"/>
        <item x="146"/>
        <item x="199"/>
        <item x="246"/>
        <item x="296"/>
        <item x="115"/>
        <item x="71"/>
        <item x="129"/>
        <item x="6"/>
        <item x="2"/>
        <item x="60"/>
        <item x="130"/>
        <item x="248"/>
        <item x="75"/>
        <item x="245"/>
        <item x="131"/>
        <item x="233"/>
        <item x="91"/>
        <item x="126"/>
        <item x="234"/>
        <item x="273"/>
        <item x="166"/>
        <item x="98"/>
        <item x="55"/>
        <item x="33"/>
        <item x="280"/>
        <item x="206"/>
        <item x="52"/>
        <item x="150"/>
        <item x="171"/>
        <item x="277"/>
        <item x="278"/>
        <item x="310"/>
        <item x="243"/>
        <item x="68"/>
        <item x="274"/>
        <item x="209"/>
        <item x="44"/>
        <item x="47"/>
        <item x="114"/>
        <item x="268"/>
        <item x="80"/>
        <item x="165"/>
        <item x="1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3"/>
  </rowFields>
  <rowItems count="24">
    <i>
      <x/>
    </i>
    <i r="1">
      <x v="278"/>
    </i>
    <i r="1">
      <x v="124"/>
    </i>
    <i r="1">
      <x v="241"/>
    </i>
    <i r="1">
      <x v="43"/>
    </i>
    <i>
      <x v="1"/>
    </i>
    <i r="1">
      <x v="185"/>
    </i>
    <i r="1">
      <x v="28"/>
    </i>
    <i>
      <x v="2"/>
    </i>
    <i r="1">
      <x v="233"/>
    </i>
    <i r="1">
      <x v="73"/>
    </i>
    <i>
      <x v="3"/>
    </i>
    <i r="1">
      <x v="139"/>
    </i>
    <i r="1">
      <x v="44"/>
    </i>
    <i>
      <x v="4"/>
    </i>
    <i r="1">
      <x v="186"/>
    </i>
    <i r="1">
      <x v="9"/>
    </i>
    <i>
      <x v="5"/>
    </i>
    <i r="1">
      <x v="94"/>
    </i>
    <i r="1">
      <x v="114"/>
    </i>
    <i r="1">
      <x v="1"/>
    </i>
    <i r="1">
      <x v="180"/>
    </i>
    <i r="1">
      <x v="19"/>
    </i>
    <i r="1">
      <x v="226"/>
    </i>
  </rowItems>
  <colItems count="1">
    <i/>
  </colItems>
  <pageFields count="1">
    <pageField fld="0" item="5" hier="-1"/>
  </pageField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DA20B-F2BC-4311-BABE-0D6E2DAC9EA6}" name="PivotTable3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3:H21" firstHeaderRow="1" firstDataRow="1" firstDataCol="1" rowPageCount="1" colPageCount="1"/>
  <pivotFields count="24">
    <pivotField axis="axisPage" showAll="0" defaultSubtotal="0">
      <items count="12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 defaultSubtotal="0"/>
    <pivotField axis="axisRow" showAll="0" sortType="ascending" defaultSubtotal="0">
      <items count="313">
        <item x="85"/>
        <item x="197"/>
        <item x="272"/>
        <item x="164"/>
        <item x="271"/>
        <item x="307"/>
        <item x="299"/>
        <item x="222"/>
        <item x="28"/>
        <item x="144"/>
        <item x="161"/>
        <item x="138"/>
        <item x="236"/>
        <item x="287"/>
        <item x="41"/>
        <item x="58"/>
        <item x="94"/>
        <item x="180"/>
        <item x="9"/>
        <item x="213"/>
        <item x="232"/>
        <item x="14"/>
        <item x="145"/>
        <item x="252"/>
        <item x="188"/>
        <item x="281"/>
        <item x="127"/>
        <item x="132"/>
        <item x="35"/>
        <item x="276"/>
        <item x="31"/>
        <item x="102"/>
        <item x="195"/>
        <item x="105"/>
        <item x="122"/>
        <item x="72"/>
        <item x="269"/>
        <item x="50"/>
        <item x="137"/>
        <item x="178"/>
        <item x="46"/>
        <item x="304"/>
        <item x="4"/>
        <item x="11"/>
        <item x="96"/>
        <item x="229"/>
        <item x="23"/>
        <item x="158"/>
        <item x="261"/>
        <item x="13"/>
        <item x="266"/>
        <item x="116"/>
        <item x="136"/>
        <item x="66"/>
        <item x="256"/>
        <item x="298"/>
        <item x="57"/>
        <item x="62"/>
        <item x="254"/>
        <item x="26"/>
        <item x="107"/>
        <item x="36"/>
        <item x="53"/>
        <item x="282"/>
        <item x="163"/>
        <item x="192"/>
        <item x="95"/>
        <item x="285"/>
        <item x="22"/>
        <item x="141"/>
        <item x="259"/>
        <item x="219"/>
        <item x="226"/>
        <item x="51"/>
        <item x="167"/>
        <item x="42"/>
        <item x="64"/>
        <item x="153"/>
        <item x="5"/>
        <item x="205"/>
        <item x="45"/>
        <item x="92"/>
        <item x="81"/>
        <item x="154"/>
        <item x="143"/>
        <item x="27"/>
        <item x="159"/>
        <item x="97"/>
        <item x="225"/>
        <item x="305"/>
        <item x="279"/>
        <item x="231"/>
        <item x="83"/>
        <item x="301"/>
        <item x="176"/>
        <item x="191"/>
        <item x="12"/>
        <item x="200"/>
        <item x="184"/>
        <item x="267"/>
        <item x="306"/>
        <item x="152"/>
        <item x="283"/>
        <item x="119"/>
        <item x="134"/>
        <item x="251"/>
        <item x="214"/>
        <item x="255"/>
        <item x="70"/>
        <item x="135"/>
        <item x="260"/>
        <item x="40"/>
        <item x="37"/>
        <item x="63"/>
        <item x="183"/>
        <item x="103"/>
        <item x="210"/>
        <item x="157"/>
        <item x="193"/>
        <item x="185"/>
        <item x="308"/>
        <item x="186"/>
        <item x="190"/>
        <item x="29"/>
        <item x="7"/>
        <item x="82"/>
        <item x="194"/>
        <item x="109"/>
        <item x="288"/>
        <item x="124"/>
        <item x="30"/>
        <item x="241"/>
        <item x="100"/>
        <item x="118"/>
        <item x="76"/>
        <item x="196"/>
        <item x="247"/>
        <item x="39"/>
        <item x="257"/>
        <item x="86"/>
        <item x="151"/>
        <item x="139"/>
        <item x="237"/>
        <item x="227"/>
        <item x="59"/>
        <item x="32"/>
        <item x="111"/>
        <item x="201"/>
        <item x="189"/>
        <item x="88"/>
        <item x="121"/>
        <item x="84"/>
        <item x="182"/>
        <item x="104"/>
        <item x="89"/>
        <item x="295"/>
        <item x="258"/>
        <item x="250"/>
        <item x="170"/>
        <item x="212"/>
        <item x="174"/>
        <item x="286"/>
        <item x="181"/>
        <item x="142"/>
        <item x="0"/>
        <item x="8"/>
        <item x="74"/>
        <item x="224"/>
        <item x="290"/>
        <item x="216"/>
        <item x="133"/>
        <item x="312"/>
        <item x="87"/>
        <item x="292"/>
        <item x="16"/>
        <item x="173"/>
        <item x="215"/>
        <item x="275"/>
        <item x="69"/>
        <item x="56"/>
        <item x="207"/>
        <item x="117"/>
        <item x="221"/>
        <item x="253"/>
        <item x="155"/>
        <item x="25"/>
        <item x="125"/>
        <item x="203"/>
        <item x="228"/>
        <item x="78"/>
        <item x="147"/>
        <item x="21"/>
        <item x="169"/>
        <item x="18"/>
        <item x="303"/>
        <item x="65"/>
        <item x="67"/>
        <item x="20"/>
        <item x="77"/>
        <item x="264"/>
        <item x="17"/>
        <item x="289"/>
        <item x="48"/>
        <item x="101"/>
        <item x="123"/>
        <item x="242"/>
        <item x="73"/>
        <item x="297"/>
        <item x="300"/>
        <item x="230"/>
        <item x="112"/>
        <item x="162"/>
        <item x="238"/>
        <item x="61"/>
        <item x="172"/>
        <item x="265"/>
        <item x="294"/>
        <item x="179"/>
        <item x="244"/>
        <item x="15"/>
        <item x="156"/>
        <item x="38"/>
        <item x="291"/>
        <item x="113"/>
        <item x="3"/>
        <item x="235"/>
        <item x="220"/>
        <item x="120"/>
        <item x="106"/>
        <item x="149"/>
        <item x="198"/>
        <item x="262"/>
        <item x="302"/>
        <item x="49"/>
        <item x="175"/>
        <item x="79"/>
        <item x="140"/>
        <item x="284"/>
        <item x="110"/>
        <item x="54"/>
        <item x="270"/>
        <item x="10"/>
        <item x="160"/>
        <item x="202"/>
        <item x="217"/>
        <item x="108"/>
        <item x="240"/>
        <item x="208"/>
        <item x="293"/>
        <item x="19"/>
        <item x="24"/>
        <item x="93"/>
        <item x="177"/>
        <item x="90"/>
        <item x="204"/>
        <item x="239"/>
        <item x="34"/>
        <item x="309"/>
        <item x="99"/>
        <item x="187"/>
        <item x="128"/>
        <item x="148"/>
        <item x="311"/>
        <item x="249"/>
        <item x="263"/>
        <item x="223"/>
        <item x="218"/>
        <item x="211"/>
        <item x="43"/>
        <item x="1"/>
        <item x="146"/>
        <item x="199"/>
        <item x="246"/>
        <item x="296"/>
        <item x="115"/>
        <item x="71"/>
        <item x="129"/>
        <item x="6"/>
        <item x="2"/>
        <item x="60"/>
        <item x="130"/>
        <item x="248"/>
        <item x="75"/>
        <item x="245"/>
        <item x="131"/>
        <item x="233"/>
        <item x="91"/>
        <item x="126"/>
        <item x="234"/>
        <item x="273"/>
        <item x="166"/>
        <item x="98"/>
        <item x="55"/>
        <item x="33"/>
        <item x="280"/>
        <item x="206"/>
        <item x="52"/>
        <item x="150"/>
        <item x="171"/>
        <item x="277"/>
        <item x="278"/>
        <item x="310"/>
        <item x="243"/>
        <item x="68"/>
        <item x="274"/>
        <item x="209"/>
        <item x="44"/>
        <item x="47"/>
        <item x="114"/>
        <item x="268"/>
        <item x="80"/>
        <item x="165"/>
        <item x="1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3"/>
  </rowFields>
  <rowItems count="18">
    <i>
      <x/>
    </i>
    <i r="1">
      <x v="200"/>
    </i>
    <i>
      <x v="2"/>
    </i>
    <i r="1">
      <x v="108"/>
    </i>
    <i>
      <x v="3"/>
    </i>
    <i r="1">
      <x v="251"/>
    </i>
    <i r="1">
      <x v="238"/>
    </i>
    <i r="1">
      <x v="227"/>
    </i>
    <i>
      <x v="4"/>
    </i>
    <i r="1">
      <x v="140"/>
    </i>
    <i>
      <x v="5"/>
    </i>
    <i r="1">
      <x v="160"/>
    </i>
    <i r="1">
      <x v="234"/>
    </i>
    <i r="1">
      <x v="271"/>
    </i>
    <i r="1">
      <x v="176"/>
    </i>
    <i r="1">
      <x v="244"/>
    </i>
    <i r="1">
      <x v="169"/>
    </i>
    <i r="1">
      <x v="71"/>
    </i>
  </rowItems>
  <colItems count="1">
    <i/>
  </colItems>
  <pageFields count="1">
    <pageField fld="0" item="9" hier="-1"/>
  </pageField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B6E23-3164-4493-91E1-745618DF5B91}" name="PivotTable8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3:E39" firstHeaderRow="1" firstDataRow="1" firstDataCol="1" rowPageCount="1" colPageCount="1"/>
  <pivotFields count="24">
    <pivotField axis="axisPage" showAll="0" defaultSubtotal="0">
      <items count="12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 defaultSubtotal="0"/>
    <pivotField axis="axisRow" showAll="0" sortType="ascending" defaultSubtotal="0">
      <items count="313">
        <item x="85"/>
        <item x="197"/>
        <item x="272"/>
        <item x="164"/>
        <item x="271"/>
        <item x="307"/>
        <item x="299"/>
        <item x="222"/>
        <item x="28"/>
        <item x="144"/>
        <item x="161"/>
        <item x="138"/>
        <item x="236"/>
        <item x="287"/>
        <item x="41"/>
        <item x="58"/>
        <item x="94"/>
        <item x="180"/>
        <item x="9"/>
        <item x="213"/>
        <item x="232"/>
        <item x="14"/>
        <item x="145"/>
        <item x="252"/>
        <item x="188"/>
        <item x="281"/>
        <item x="127"/>
        <item x="132"/>
        <item x="35"/>
        <item x="276"/>
        <item x="31"/>
        <item x="102"/>
        <item x="195"/>
        <item x="105"/>
        <item x="122"/>
        <item x="72"/>
        <item x="269"/>
        <item x="50"/>
        <item x="137"/>
        <item x="178"/>
        <item x="46"/>
        <item x="304"/>
        <item x="4"/>
        <item x="11"/>
        <item x="96"/>
        <item x="229"/>
        <item x="23"/>
        <item x="158"/>
        <item x="261"/>
        <item x="13"/>
        <item x="266"/>
        <item x="116"/>
        <item x="136"/>
        <item x="66"/>
        <item x="256"/>
        <item x="298"/>
        <item x="57"/>
        <item x="62"/>
        <item x="254"/>
        <item x="26"/>
        <item x="107"/>
        <item x="36"/>
        <item x="53"/>
        <item x="282"/>
        <item x="163"/>
        <item x="192"/>
        <item x="95"/>
        <item x="285"/>
        <item x="22"/>
        <item x="141"/>
        <item x="259"/>
        <item x="219"/>
        <item x="226"/>
        <item x="51"/>
        <item x="167"/>
        <item x="42"/>
        <item x="64"/>
        <item x="153"/>
        <item x="5"/>
        <item x="205"/>
        <item x="45"/>
        <item x="92"/>
        <item x="81"/>
        <item x="154"/>
        <item x="143"/>
        <item x="27"/>
        <item x="159"/>
        <item x="97"/>
        <item x="225"/>
        <item x="305"/>
        <item x="279"/>
        <item x="231"/>
        <item x="83"/>
        <item x="301"/>
        <item x="176"/>
        <item x="191"/>
        <item x="12"/>
        <item x="200"/>
        <item x="184"/>
        <item x="267"/>
        <item x="306"/>
        <item x="152"/>
        <item x="283"/>
        <item x="119"/>
        <item x="134"/>
        <item x="251"/>
        <item x="214"/>
        <item x="255"/>
        <item x="70"/>
        <item x="135"/>
        <item x="260"/>
        <item x="40"/>
        <item x="37"/>
        <item x="63"/>
        <item x="183"/>
        <item x="103"/>
        <item x="210"/>
        <item x="157"/>
        <item x="193"/>
        <item x="185"/>
        <item x="308"/>
        <item x="186"/>
        <item x="190"/>
        <item x="29"/>
        <item x="7"/>
        <item x="82"/>
        <item x="194"/>
        <item x="109"/>
        <item x="288"/>
        <item x="124"/>
        <item x="30"/>
        <item x="241"/>
        <item x="100"/>
        <item x="118"/>
        <item x="76"/>
        <item x="196"/>
        <item x="247"/>
        <item x="39"/>
        <item x="257"/>
        <item x="86"/>
        <item x="151"/>
        <item x="139"/>
        <item x="237"/>
        <item x="227"/>
        <item x="59"/>
        <item x="32"/>
        <item x="111"/>
        <item x="201"/>
        <item x="189"/>
        <item x="88"/>
        <item x="121"/>
        <item x="84"/>
        <item x="182"/>
        <item x="104"/>
        <item x="89"/>
        <item x="295"/>
        <item x="258"/>
        <item x="250"/>
        <item x="170"/>
        <item x="212"/>
        <item x="174"/>
        <item x="286"/>
        <item x="181"/>
        <item x="142"/>
        <item x="0"/>
        <item x="8"/>
        <item x="74"/>
        <item x="224"/>
        <item x="290"/>
        <item x="216"/>
        <item x="133"/>
        <item x="312"/>
        <item x="87"/>
        <item x="292"/>
        <item x="16"/>
        <item x="173"/>
        <item x="215"/>
        <item x="275"/>
        <item x="69"/>
        <item x="56"/>
        <item x="207"/>
        <item x="117"/>
        <item x="221"/>
        <item x="253"/>
        <item x="155"/>
        <item x="25"/>
        <item x="125"/>
        <item x="203"/>
        <item x="228"/>
        <item x="78"/>
        <item x="147"/>
        <item x="21"/>
        <item x="169"/>
        <item x="18"/>
        <item x="303"/>
        <item x="65"/>
        <item x="67"/>
        <item x="20"/>
        <item x="77"/>
        <item x="264"/>
        <item x="17"/>
        <item x="289"/>
        <item x="48"/>
        <item x="101"/>
        <item x="123"/>
        <item x="242"/>
        <item x="73"/>
        <item x="297"/>
        <item x="300"/>
        <item x="230"/>
        <item x="112"/>
        <item x="162"/>
        <item x="238"/>
        <item x="61"/>
        <item x="172"/>
        <item x="265"/>
        <item x="294"/>
        <item x="179"/>
        <item x="244"/>
        <item x="15"/>
        <item x="156"/>
        <item x="38"/>
        <item x="291"/>
        <item x="113"/>
        <item x="3"/>
        <item x="235"/>
        <item x="220"/>
        <item x="120"/>
        <item x="106"/>
        <item x="149"/>
        <item x="198"/>
        <item x="262"/>
        <item x="302"/>
        <item x="49"/>
        <item x="175"/>
        <item x="79"/>
        <item x="140"/>
        <item x="284"/>
        <item x="110"/>
        <item x="54"/>
        <item x="270"/>
        <item x="10"/>
        <item x="160"/>
        <item x="202"/>
        <item x="217"/>
        <item x="108"/>
        <item x="240"/>
        <item x="208"/>
        <item x="293"/>
        <item x="19"/>
        <item x="24"/>
        <item x="93"/>
        <item x="177"/>
        <item x="90"/>
        <item x="204"/>
        <item x="239"/>
        <item x="34"/>
        <item x="309"/>
        <item x="99"/>
        <item x="187"/>
        <item x="128"/>
        <item x="148"/>
        <item x="311"/>
        <item x="249"/>
        <item x="263"/>
        <item x="223"/>
        <item x="218"/>
        <item x="211"/>
        <item x="43"/>
        <item x="1"/>
        <item x="146"/>
        <item x="199"/>
        <item x="246"/>
        <item x="296"/>
        <item x="115"/>
        <item x="71"/>
        <item x="129"/>
        <item x="6"/>
        <item x="2"/>
        <item x="60"/>
        <item x="130"/>
        <item x="248"/>
        <item x="75"/>
        <item x="245"/>
        <item x="131"/>
        <item x="233"/>
        <item x="91"/>
        <item x="126"/>
        <item x="234"/>
        <item x="273"/>
        <item x="166"/>
        <item x="98"/>
        <item x="55"/>
        <item x="33"/>
        <item x="280"/>
        <item x="206"/>
        <item x="52"/>
        <item x="150"/>
        <item x="171"/>
        <item x="277"/>
        <item x="278"/>
        <item x="310"/>
        <item x="243"/>
        <item x="68"/>
        <item x="274"/>
        <item x="209"/>
        <item x="44"/>
        <item x="47"/>
        <item x="114"/>
        <item x="268"/>
        <item x="80"/>
        <item x="165"/>
        <item x="1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3"/>
  </rowFields>
  <rowItems count="36">
    <i>
      <x/>
    </i>
    <i r="1">
      <x v="269"/>
    </i>
    <i r="1">
      <x v="78"/>
    </i>
    <i r="1">
      <x v="18"/>
    </i>
    <i r="1">
      <x v="49"/>
    </i>
    <i r="1">
      <x v="197"/>
    </i>
    <i>
      <x v="1"/>
    </i>
    <i r="1">
      <x v="8"/>
    </i>
    <i r="1">
      <x v="221"/>
    </i>
    <i r="1">
      <x v="268"/>
    </i>
    <i>
      <x v="2"/>
    </i>
    <i r="1">
      <x v="296"/>
    </i>
    <i r="1">
      <x v="15"/>
    </i>
    <i r="1">
      <x v="279"/>
    </i>
    <i r="1">
      <x v="76"/>
    </i>
    <i r="1">
      <x v="178"/>
    </i>
    <i>
      <x v="3"/>
    </i>
    <i r="1">
      <x v="235"/>
    </i>
    <i r="1">
      <x v="310"/>
    </i>
    <i r="1">
      <x v="125"/>
    </i>
    <i r="1">
      <x v="149"/>
    </i>
    <i r="1">
      <x v="87"/>
    </i>
    <i r="1">
      <x v="258"/>
    </i>
    <i r="1">
      <x v="203"/>
    </i>
    <i r="1">
      <x v="228"/>
    </i>
    <i>
      <x v="4"/>
    </i>
    <i r="1">
      <x v="229"/>
    </i>
    <i r="1">
      <x v="242"/>
    </i>
    <i r="1">
      <x v="290"/>
    </i>
    <i>
      <x v="5"/>
    </i>
    <i r="1">
      <x v="142"/>
    </i>
    <i r="1">
      <x v="212"/>
    </i>
    <i r="1">
      <x v="131"/>
    </i>
    <i r="1">
      <x v="255"/>
    </i>
    <i r="1">
      <x v="39"/>
    </i>
    <i r="1">
      <x v="295"/>
    </i>
  </rowItems>
  <colItems count="1">
    <i/>
  </colItems>
  <pageFields count="1">
    <pageField fld="0" item="2" hier="-1"/>
  </pageField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C5868-1EF3-432B-B357-E344124DAA03}" name="PivotTable7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39" firstHeaderRow="1" firstDataRow="1" firstDataCol="1" rowPageCount="1" colPageCount="1"/>
  <pivotFields count="24">
    <pivotField axis="axisPage" showAll="0" defaultSubtotal="0">
      <items count="12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 defaultSubtotal="0"/>
    <pivotField axis="axisRow" showAll="0" sortType="ascending" defaultSubtotal="0">
      <items count="313">
        <item x="85"/>
        <item x="197"/>
        <item x="272"/>
        <item x="164"/>
        <item x="271"/>
        <item x="307"/>
        <item x="299"/>
        <item x="222"/>
        <item x="28"/>
        <item x="144"/>
        <item x="161"/>
        <item x="138"/>
        <item x="236"/>
        <item x="287"/>
        <item x="41"/>
        <item x="58"/>
        <item x="94"/>
        <item x="180"/>
        <item x="9"/>
        <item x="213"/>
        <item x="232"/>
        <item x="14"/>
        <item x="145"/>
        <item x="252"/>
        <item x="188"/>
        <item x="281"/>
        <item x="127"/>
        <item x="132"/>
        <item x="35"/>
        <item x="276"/>
        <item x="31"/>
        <item x="102"/>
        <item x="195"/>
        <item x="105"/>
        <item x="122"/>
        <item x="72"/>
        <item x="269"/>
        <item x="50"/>
        <item x="137"/>
        <item x="178"/>
        <item x="46"/>
        <item x="304"/>
        <item x="4"/>
        <item x="11"/>
        <item x="96"/>
        <item x="229"/>
        <item x="23"/>
        <item x="158"/>
        <item x="261"/>
        <item x="13"/>
        <item x="266"/>
        <item x="116"/>
        <item x="136"/>
        <item x="66"/>
        <item x="256"/>
        <item x="298"/>
        <item x="57"/>
        <item x="62"/>
        <item x="254"/>
        <item x="26"/>
        <item x="107"/>
        <item x="36"/>
        <item x="53"/>
        <item x="282"/>
        <item x="163"/>
        <item x="192"/>
        <item x="95"/>
        <item x="285"/>
        <item x="22"/>
        <item x="141"/>
        <item x="259"/>
        <item x="219"/>
        <item x="226"/>
        <item x="51"/>
        <item x="167"/>
        <item x="42"/>
        <item x="64"/>
        <item x="153"/>
        <item x="5"/>
        <item x="205"/>
        <item x="45"/>
        <item x="92"/>
        <item x="81"/>
        <item x="154"/>
        <item x="143"/>
        <item x="27"/>
        <item x="159"/>
        <item x="97"/>
        <item x="225"/>
        <item x="305"/>
        <item x="279"/>
        <item x="231"/>
        <item x="83"/>
        <item x="301"/>
        <item x="176"/>
        <item x="191"/>
        <item x="12"/>
        <item x="200"/>
        <item x="184"/>
        <item x="267"/>
        <item x="306"/>
        <item x="152"/>
        <item x="283"/>
        <item x="119"/>
        <item x="134"/>
        <item x="251"/>
        <item x="214"/>
        <item x="255"/>
        <item x="70"/>
        <item x="135"/>
        <item x="260"/>
        <item x="40"/>
        <item x="37"/>
        <item x="63"/>
        <item x="183"/>
        <item x="103"/>
        <item x="210"/>
        <item x="157"/>
        <item x="193"/>
        <item x="185"/>
        <item x="308"/>
        <item x="186"/>
        <item x="190"/>
        <item x="29"/>
        <item x="7"/>
        <item x="82"/>
        <item x="194"/>
        <item x="109"/>
        <item x="288"/>
        <item x="124"/>
        <item x="30"/>
        <item x="241"/>
        <item x="100"/>
        <item x="118"/>
        <item x="76"/>
        <item x="196"/>
        <item x="247"/>
        <item x="39"/>
        <item x="257"/>
        <item x="86"/>
        <item x="151"/>
        <item x="139"/>
        <item x="237"/>
        <item x="227"/>
        <item x="59"/>
        <item x="32"/>
        <item x="111"/>
        <item x="201"/>
        <item x="189"/>
        <item x="88"/>
        <item x="121"/>
        <item x="84"/>
        <item x="182"/>
        <item x="104"/>
        <item x="89"/>
        <item x="295"/>
        <item x="258"/>
        <item x="250"/>
        <item x="170"/>
        <item x="212"/>
        <item x="174"/>
        <item x="286"/>
        <item x="181"/>
        <item x="142"/>
        <item x="0"/>
        <item x="8"/>
        <item x="74"/>
        <item x="224"/>
        <item x="290"/>
        <item x="216"/>
        <item x="133"/>
        <item x="312"/>
        <item x="87"/>
        <item x="292"/>
        <item x="16"/>
        <item x="173"/>
        <item x="215"/>
        <item x="275"/>
        <item x="69"/>
        <item x="56"/>
        <item x="207"/>
        <item x="117"/>
        <item x="221"/>
        <item x="253"/>
        <item x="155"/>
        <item x="25"/>
        <item x="125"/>
        <item x="203"/>
        <item x="228"/>
        <item x="78"/>
        <item x="147"/>
        <item x="21"/>
        <item x="169"/>
        <item x="18"/>
        <item x="303"/>
        <item x="65"/>
        <item x="67"/>
        <item x="20"/>
        <item x="77"/>
        <item x="264"/>
        <item x="17"/>
        <item x="289"/>
        <item x="48"/>
        <item x="101"/>
        <item x="123"/>
        <item x="242"/>
        <item x="73"/>
        <item x="297"/>
        <item x="300"/>
        <item x="230"/>
        <item x="112"/>
        <item x="162"/>
        <item x="238"/>
        <item x="61"/>
        <item x="172"/>
        <item x="265"/>
        <item x="294"/>
        <item x="179"/>
        <item x="244"/>
        <item x="15"/>
        <item x="156"/>
        <item x="38"/>
        <item x="291"/>
        <item x="113"/>
        <item x="3"/>
        <item x="235"/>
        <item x="220"/>
        <item x="120"/>
        <item x="106"/>
        <item x="149"/>
        <item x="198"/>
        <item x="262"/>
        <item x="302"/>
        <item x="49"/>
        <item x="175"/>
        <item x="79"/>
        <item x="140"/>
        <item x="284"/>
        <item x="110"/>
        <item x="54"/>
        <item x="270"/>
        <item x="10"/>
        <item x="160"/>
        <item x="202"/>
        <item x="217"/>
        <item x="108"/>
        <item x="240"/>
        <item x="208"/>
        <item x="293"/>
        <item x="19"/>
        <item x="24"/>
        <item x="93"/>
        <item x="177"/>
        <item x="90"/>
        <item x="204"/>
        <item x="239"/>
        <item x="34"/>
        <item x="309"/>
        <item x="99"/>
        <item x="187"/>
        <item x="128"/>
        <item x="148"/>
        <item x="311"/>
        <item x="249"/>
        <item x="263"/>
        <item x="223"/>
        <item x="218"/>
        <item x="211"/>
        <item x="43"/>
        <item x="1"/>
        <item x="146"/>
        <item x="199"/>
        <item x="246"/>
        <item x="296"/>
        <item x="115"/>
        <item x="71"/>
        <item x="129"/>
        <item x="6"/>
        <item x="2"/>
        <item x="60"/>
        <item x="130"/>
        <item x="248"/>
        <item x="75"/>
        <item x="245"/>
        <item x="131"/>
        <item x="233"/>
        <item x="91"/>
        <item x="126"/>
        <item x="234"/>
        <item x="273"/>
        <item x="166"/>
        <item x="98"/>
        <item x="55"/>
        <item x="33"/>
        <item x="280"/>
        <item x="206"/>
        <item x="52"/>
        <item x="150"/>
        <item x="171"/>
        <item x="277"/>
        <item x="278"/>
        <item x="310"/>
        <item x="243"/>
        <item x="68"/>
        <item x="274"/>
        <item x="209"/>
        <item x="44"/>
        <item x="47"/>
        <item x="114"/>
        <item x="268"/>
        <item x="80"/>
        <item x="165"/>
        <item x="1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3"/>
  </rowFields>
  <rowItems count="36">
    <i>
      <x/>
    </i>
    <i r="1">
      <x v="269"/>
    </i>
    <i r="1">
      <x v="78"/>
    </i>
    <i r="1">
      <x v="18"/>
    </i>
    <i r="1">
      <x v="49"/>
    </i>
    <i r="1">
      <x v="197"/>
    </i>
    <i>
      <x v="1"/>
    </i>
    <i r="1">
      <x v="8"/>
    </i>
    <i r="1">
      <x v="221"/>
    </i>
    <i r="1">
      <x v="268"/>
    </i>
    <i>
      <x v="2"/>
    </i>
    <i r="1">
      <x v="296"/>
    </i>
    <i r="1">
      <x v="15"/>
    </i>
    <i r="1">
      <x v="279"/>
    </i>
    <i r="1">
      <x v="76"/>
    </i>
    <i r="1">
      <x v="178"/>
    </i>
    <i>
      <x v="3"/>
    </i>
    <i r="1">
      <x v="235"/>
    </i>
    <i r="1">
      <x v="310"/>
    </i>
    <i r="1">
      <x v="125"/>
    </i>
    <i r="1">
      <x v="149"/>
    </i>
    <i r="1">
      <x v="87"/>
    </i>
    <i r="1">
      <x v="258"/>
    </i>
    <i r="1">
      <x v="203"/>
    </i>
    <i r="1">
      <x v="228"/>
    </i>
    <i>
      <x v="4"/>
    </i>
    <i r="1">
      <x v="229"/>
    </i>
    <i r="1">
      <x v="242"/>
    </i>
    <i r="1">
      <x v="290"/>
    </i>
    <i>
      <x v="5"/>
    </i>
    <i r="1">
      <x v="142"/>
    </i>
    <i r="1">
      <x v="212"/>
    </i>
    <i r="1">
      <x v="131"/>
    </i>
    <i r="1">
      <x v="255"/>
    </i>
    <i r="1">
      <x v="39"/>
    </i>
    <i r="1">
      <x v="295"/>
    </i>
  </rowItems>
  <colItems count="1">
    <i/>
  </colItems>
  <pageFields count="1">
    <pageField fld="0" item="2" hier="-1"/>
  </pageField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792A1-ACC4-4682-8C44-71EEA85584F7}" name="PivotTable11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M3:N26" firstHeaderRow="1" firstDataRow="1" firstDataCol="1" rowPageCount="1" colPageCount="1"/>
  <pivotFields count="24">
    <pivotField axis="axisPage" showAll="0" defaultSubtotal="0">
      <items count="12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 defaultSubtotal="0"/>
    <pivotField axis="axisRow" showAll="0" sortType="ascending" defaultSubtotal="0">
      <items count="313">
        <item x="85"/>
        <item x="197"/>
        <item x="272"/>
        <item x="164"/>
        <item x="271"/>
        <item x="307"/>
        <item x="299"/>
        <item x="222"/>
        <item x="28"/>
        <item x="144"/>
        <item x="161"/>
        <item x="138"/>
        <item x="236"/>
        <item x="287"/>
        <item x="41"/>
        <item x="58"/>
        <item x="94"/>
        <item x="180"/>
        <item x="9"/>
        <item x="213"/>
        <item x="232"/>
        <item x="14"/>
        <item x="145"/>
        <item x="252"/>
        <item x="188"/>
        <item x="281"/>
        <item x="127"/>
        <item x="132"/>
        <item x="35"/>
        <item x="276"/>
        <item x="31"/>
        <item x="102"/>
        <item x="195"/>
        <item x="105"/>
        <item x="122"/>
        <item x="72"/>
        <item x="269"/>
        <item x="50"/>
        <item x="137"/>
        <item x="178"/>
        <item x="46"/>
        <item x="304"/>
        <item x="4"/>
        <item x="11"/>
        <item x="96"/>
        <item x="229"/>
        <item x="23"/>
        <item x="158"/>
        <item x="261"/>
        <item x="13"/>
        <item x="266"/>
        <item x="116"/>
        <item x="136"/>
        <item x="66"/>
        <item x="256"/>
        <item x="298"/>
        <item x="57"/>
        <item x="62"/>
        <item x="254"/>
        <item x="26"/>
        <item x="107"/>
        <item x="36"/>
        <item x="53"/>
        <item x="282"/>
        <item x="163"/>
        <item x="192"/>
        <item x="95"/>
        <item x="285"/>
        <item x="22"/>
        <item x="141"/>
        <item x="259"/>
        <item x="219"/>
        <item x="226"/>
        <item x="51"/>
        <item x="167"/>
        <item x="42"/>
        <item x="64"/>
        <item x="153"/>
        <item x="5"/>
        <item x="205"/>
        <item x="45"/>
        <item x="92"/>
        <item x="81"/>
        <item x="154"/>
        <item x="143"/>
        <item x="27"/>
        <item x="159"/>
        <item x="97"/>
        <item x="225"/>
        <item x="305"/>
        <item x="279"/>
        <item x="231"/>
        <item x="83"/>
        <item x="301"/>
        <item x="176"/>
        <item x="191"/>
        <item x="12"/>
        <item x="200"/>
        <item x="184"/>
        <item x="267"/>
        <item x="306"/>
        <item x="152"/>
        <item x="283"/>
        <item x="119"/>
        <item x="134"/>
        <item x="251"/>
        <item x="214"/>
        <item x="255"/>
        <item x="70"/>
        <item x="135"/>
        <item x="260"/>
        <item x="40"/>
        <item x="37"/>
        <item x="63"/>
        <item x="183"/>
        <item x="103"/>
        <item x="210"/>
        <item x="157"/>
        <item x="193"/>
        <item x="185"/>
        <item x="308"/>
        <item x="186"/>
        <item x="190"/>
        <item x="29"/>
        <item x="7"/>
        <item x="82"/>
        <item x="194"/>
        <item x="109"/>
        <item x="288"/>
        <item x="124"/>
        <item x="30"/>
        <item x="241"/>
        <item x="100"/>
        <item x="118"/>
        <item x="76"/>
        <item x="196"/>
        <item x="247"/>
        <item x="39"/>
        <item x="257"/>
        <item x="86"/>
        <item x="151"/>
        <item x="139"/>
        <item x="237"/>
        <item x="227"/>
        <item x="59"/>
        <item x="32"/>
        <item x="111"/>
        <item x="201"/>
        <item x="189"/>
        <item x="88"/>
        <item x="121"/>
        <item x="84"/>
        <item x="182"/>
        <item x="104"/>
        <item x="89"/>
        <item x="295"/>
        <item x="258"/>
        <item x="250"/>
        <item x="170"/>
        <item x="212"/>
        <item x="174"/>
        <item x="286"/>
        <item x="181"/>
        <item x="142"/>
        <item x="0"/>
        <item x="8"/>
        <item x="74"/>
        <item x="224"/>
        <item x="290"/>
        <item x="216"/>
        <item x="133"/>
        <item x="312"/>
        <item x="87"/>
        <item x="292"/>
        <item x="16"/>
        <item x="173"/>
        <item x="215"/>
        <item x="275"/>
        <item x="69"/>
        <item x="56"/>
        <item x="207"/>
        <item x="117"/>
        <item x="221"/>
        <item x="253"/>
        <item x="155"/>
        <item x="25"/>
        <item x="125"/>
        <item x="203"/>
        <item x="228"/>
        <item x="78"/>
        <item x="147"/>
        <item x="21"/>
        <item x="169"/>
        <item x="18"/>
        <item x="303"/>
        <item x="65"/>
        <item x="67"/>
        <item x="20"/>
        <item x="77"/>
        <item x="264"/>
        <item x="17"/>
        <item x="289"/>
        <item x="48"/>
        <item x="101"/>
        <item x="123"/>
        <item x="242"/>
        <item x="73"/>
        <item x="297"/>
        <item x="300"/>
        <item x="230"/>
        <item x="112"/>
        <item x="162"/>
        <item x="238"/>
        <item x="61"/>
        <item x="172"/>
        <item x="265"/>
        <item x="294"/>
        <item x="179"/>
        <item x="244"/>
        <item x="15"/>
        <item x="156"/>
        <item x="38"/>
        <item x="291"/>
        <item x="113"/>
        <item x="3"/>
        <item x="235"/>
        <item x="220"/>
        <item x="120"/>
        <item x="106"/>
        <item x="149"/>
        <item x="198"/>
        <item x="262"/>
        <item x="302"/>
        <item x="49"/>
        <item x="175"/>
        <item x="79"/>
        <item x="140"/>
        <item x="284"/>
        <item x="110"/>
        <item x="54"/>
        <item x="270"/>
        <item x="10"/>
        <item x="160"/>
        <item x="202"/>
        <item x="217"/>
        <item x="108"/>
        <item x="240"/>
        <item x="208"/>
        <item x="293"/>
        <item x="19"/>
        <item x="24"/>
        <item x="93"/>
        <item x="177"/>
        <item x="90"/>
        <item x="204"/>
        <item x="239"/>
        <item x="34"/>
        <item x="309"/>
        <item x="99"/>
        <item x="187"/>
        <item x="128"/>
        <item x="148"/>
        <item x="311"/>
        <item x="249"/>
        <item x="263"/>
        <item x="223"/>
        <item x="218"/>
        <item x="211"/>
        <item x="43"/>
        <item x="1"/>
        <item x="146"/>
        <item x="199"/>
        <item x="246"/>
        <item x="296"/>
        <item x="115"/>
        <item x="71"/>
        <item x="129"/>
        <item x="6"/>
        <item x="2"/>
        <item x="60"/>
        <item x="130"/>
        <item x="248"/>
        <item x="75"/>
        <item x="245"/>
        <item x="131"/>
        <item x="233"/>
        <item x="91"/>
        <item x="126"/>
        <item x="234"/>
        <item x="273"/>
        <item x="166"/>
        <item x="98"/>
        <item x="55"/>
        <item x="33"/>
        <item x="280"/>
        <item x="206"/>
        <item x="52"/>
        <item x="150"/>
        <item x="171"/>
        <item x="277"/>
        <item x="278"/>
        <item x="310"/>
        <item x="243"/>
        <item x="68"/>
        <item x="274"/>
        <item x="209"/>
        <item x="44"/>
        <item x="47"/>
        <item x="114"/>
        <item x="268"/>
        <item x="80"/>
        <item x="165"/>
        <item x="1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3"/>
  </rowFields>
  <rowItems count="23">
    <i>
      <x/>
    </i>
    <i r="1">
      <x v="42"/>
    </i>
    <i r="1">
      <x v="96"/>
    </i>
    <i>
      <x v="1"/>
    </i>
    <i r="1">
      <x v="111"/>
    </i>
    <i r="1">
      <x v="307"/>
    </i>
    <i>
      <x v="2"/>
    </i>
    <i r="1">
      <x v="37"/>
    </i>
    <i r="1">
      <x v="292"/>
    </i>
    <i>
      <x v="3"/>
    </i>
    <i r="1">
      <x v="189"/>
    </i>
    <i r="1">
      <x/>
    </i>
    <i>
      <x v="4"/>
    </i>
    <i r="1">
      <x v="129"/>
    </i>
    <i r="1">
      <x v="27"/>
    </i>
    <i r="1">
      <x v="158"/>
    </i>
    <i r="1">
      <x v="298"/>
    </i>
    <i>
      <x v="5"/>
    </i>
    <i r="1">
      <x v="152"/>
    </i>
    <i r="1">
      <x v="305"/>
    </i>
    <i r="1">
      <x v="266"/>
    </i>
    <i r="1">
      <x v="72"/>
    </i>
    <i r="1">
      <x v="88"/>
    </i>
  </rowItems>
  <colItems count="1">
    <i/>
  </colItems>
  <pageFields count="1">
    <pageField fld="0" item="8" hier="-1"/>
  </pageField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0E305-CD08-46AB-B443-E2AA20AFD124}" name="PivotTable10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3:K37" firstHeaderRow="1" firstDataRow="1" firstDataCol="1" rowPageCount="1" colPageCount="1"/>
  <pivotFields count="24">
    <pivotField axis="axisPage" showAll="0" defaultSubtotal="0">
      <items count="12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 defaultSubtotal="0"/>
    <pivotField axis="axisRow" showAll="0" sortType="ascending" defaultSubtotal="0">
      <items count="313">
        <item x="85"/>
        <item x="197"/>
        <item x="272"/>
        <item x="164"/>
        <item x="271"/>
        <item x="307"/>
        <item x="299"/>
        <item x="222"/>
        <item x="28"/>
        <item x="144"/>
        <item x="161"/>
        <item x="138"/>
        <item x="236"/>
        <item x="287"/>
        <item x="41"/>
        <item x="58"/>
        <item x="94"/>
        <item x="180"/>
        <item x="9"/>
        <item x="213"/>
        <item x="232"/>
        <item x="14"/>
        <item x="145"/>
        <item x="252"/>
        <item x="188"/>
        <item x="281"/>
        <item x="127"/>
        <item x="132"/>
        <item x="35"/>
        <item x="276"/>
        <item x="31"/>
        <item x="102"/>
        <item x="195"/>
        <item x="105"/>
        <item x="122"/>
        <item x="72"/>
        <item x="269"/>
        <item x="50"/>
        <item x="137"/>
        <item x="178"/>
        <item x="46"/>
        <item x="304"/>
        <item x="4"/>
        <item x="11"/>
        <item x="96"/>
        <item x="229"/>
        <item x="23"/>
        <item x="158"/>
        <item x="261"/>
        <item x="13"/>
        <item x="266"/>
        <item x="116"/>
        <item x="136"/>
        <item x="66"/>
        <item x="256"/>
        <item x="298"/>
        <item x="57"/>
        <item x="62"/>
        <item x="254"/>
        <item x="26"/>
        <item x="107"/>
        <item x="36"/>
        <item x="53"/>
        <item x="282"/>
        <item x="163"/>
        <item x="192"/>
        <item x="95"/>
        <item x="285"/>
        <item x="22"/>
        <item x="141"/>
        <item x="259"/>
        <item x="219"/>
        <item x="226"/>
        <item x="51"/>
        <item x="167"/>
        <item x="42"/>
        <item x="64"/>
        <item x="153"/>
        <item x="5"/>
        <item x="205"/>
        <item x="45"/>
        <item x="92"/>
        <item x="81"/>
        <item x="154"/>
        <item x="143"/>
        <item x="27"/>
        <item x="159"/>
        <item x="97"/>
        <item x="225"/>
        <item x="305"/>
        <item x="279"/>
        <item x="231"/>
        <item x="83"/>
        <item x="301"/>
        <item x="176"/>
        <item x="191"/>
        <item x="12"/>
        <item x="200"/>
        <item x="184"/>
        <item x="267"/>
        <item x="306"/>
        <item x="152"/>
        <item x="283"/>
        <item x="119"/>
        <item x="134"/>
        <item x="251"/>
        <item x="214"/>
        <item x="255"/>
        <item x="70"/>
        <item x="135"/>
        <item x="260"/>
        <item x="40"/>
        <item x="37"/>
        <item x="63"/>
        <item x="183"/>
        <item x="103"/>
        <item x="210"/>
        <item x="157"/>
        <item x="193"/>
        <item x="185"/>
        <item x="308"/>
        <item x="186"/>
        <item x="190"/>
        <item x="29"/>
        <item x="7"/>
        <item x="82"/>
        <item x="194"/>
        <item x="109"/>
        <item x="288"/>
        <item x="124"/>
        <item x="30"/>
        <item x="241"/>
        <item x="100"/>
        <item x="118"/>
        <item x="76"/>
        <item x="196"/>
        <item x="247"/>
        <item x="39"/>
        <item x="257"/>
        <item x="86"/>
        <item x="151"/>
        <item x="139"/>
        <item x="237"/>
        <item x="227"/>
        <item x="59"/>
        <item x="32"/>
        <item x="111"/>
        <item x="201"/>
        <item x="189"/>
        <item x="88"/>
        <item x="121"/>
        <item x="84"/>
        <item x="182"/>
        <item x="104"/>
        <item x="89"/>
        <item x="295"/>
        <item x="258"/>
        <item x="250"/>
        <item x="170"/>
        <item x="212"/>
        <item x="174"/>
        <item x="286"/>
        <item x="181"/>
        <item x="142"/>
        <item x="0"/>
        <item x="8"/>
        <item x="74"/>
        <item x="224"/>
        <item x="290"/>
        <item x="216"/>
        <item x="133"/>
        <item x="312"/>
        <item x="87"/>
        <item x="292"/>
        <item x="16"/>
        <item x="173"/>
        <item x="215"/>
        <item x="275"/>
        <item x="69"/>
        <item x="56"/>
        <item x="207"/>
        <item x="117"/>
        <item x="221"/>
        <item x="253"/>
        <item x="155"/>
        <item x="25"/>
        <item x="125"/>
        <item x="203"/>
        <item x="228"/>
        <item x="78"/>
        <item x="147"/>
        <item x="21"/>
        <item x="169"/>
        <item x="18"/>
        <item x="303"/>
        <item x="65"/>
        <item x="67"/>
        <item x="20"/>
        <item x="77"/>
        <item x="264"/>
        <item x="17"/>
        <item x="289"/>
        <item x="48"/>
        <item x="101"/>
        <item x="123"/>
        <item x="242"/>
        <item x="73"/>
        <item x="297"/>
        <item x="300"/>
        <item x="230"/>
        <item x="112"/>
        <item x="162"/>
        <item x="238"/>
        <item x="61"/>
        <item x="172"/>
        <item x="265"/>
        <item x="294"/>
        <item x="179"/>
        <item x="244"/>
        <item x="15"/>
        <item x="156"/>
        <item x="38"/>
        <item x="291"/>
        <item x="113"/>
        <item x="3"/>
        <item x="235"/>
        <item x="220"/>
        <item x="120"/>
        <item x="106"/>
        <item x="149"/>
        <item x="198"/>
        <item x="262"/>
        <item x="302"/>
        <item x="49"/>
        <item x="175"/>
        <item x="79"/>
        <item x="140"/>
        <item x="284"/>
        <item x="110"/>
        <item x="54"/>
        <item x="270"/>
        <item x="10"/>
        <item x="160"/>
        <item x="202"/>
        <item x="217"/>
        <item x="108"/>
        <item x="240"/>
        <item x="208"/>
        <item x="293"/>
        <item x="19"/>
        <item x="24"/>
        <item x="93"/>
        <item x="177"/>
        <item x="90"/>
        <item x="204"/>
        <item x="239"/>
        <item x="34"/>
        <item x="309"/>
        <item x="99"/>
        <item x="187"/>
        <item x="128"/>
        <item x="148"/>
        <item x="311"/>
        <item x="249"/>
        <item x="263"/>
        <item x="223"/>
        <item x="218"/>
        <item x="211"/>
        <item x="43"/>
        <item x="1"/>
        <item x="146"/>
        <item x="199"/>
        <item x="246"/>
        <item x="296"/>
        <item x="115"/>
        <item x="71"/>
        <item x="129"/>
        <item x="6"/>
        <item x="2"/>
        <item x="60"/>
        <item x="130"/>
        <item x="248"/>
        <item x="75"/>
        <item x="245"/>
        <item x="131"/>
        <item x="233"/>
        <item x="91"/>
        <item x="126"/>
        <item x="234"/>
        <item x="273"/>
        <item x="166"/>
        <item x="98"/>
        <item x="55"/>
        <item x="33"/>
        <item x="280"/>
        <item x="206"/>
        <item x="52"/>
        <item x="150"/>
        <item x="171"/>
        <item x="277"/>
        <item x="278"/>
        <item x="310"/>
        <item x="243"/>
        <item x="68"/>
        <item x="274"/>
        <item x="209"/>
        <item x="44"/>
        <item x="47"/>
        <item x="114"/>
        <item x="268"/>
        <item x="80"/>
        <item x="165"/>
        <item x="1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3"/>
  </rowFields>
  <rowItems count="34">
    <i>
      <x/>
    </i>
    <i r="1">
      <x v="224"/>
    </i>
    <i r="1">
      <x v="165"/>
    </i>
    <i r="1">
      <x v="21"/>
    </i>
    <i>
      <x v="1"/>
    </i>
    <i r="1">
      <x v="68"/>
    </i>
    <i r="1">
      <x v="59"/>
    </i>
    <i r="1">
      <x v="30"/>
    </i>
    <i r="1">
      <x v="137"/>
    </i>
    <i r="1">
      <x v="75"/>
    </i>
    <i r="1">
      <x v="80"/>
    </i>
    <i>
      <x v="2"/>
    </i>
    <i r="1">
      <x v="195"/>
    </i>
    <i r="1">
      <x v="196"/>
    </i>
    <i r="1">
      <x v="303"/>
    </i>
    <i>
      <x v="3"/>
    </i>
    <i r="1">
      <x v="81"/>
    </i>
    <i r="1">
      <x v="115"/>
    </i>
    <i r="1">
      <x v="146"/>
    </i>
    <i r="1">
      <x v="223"/>
    </i>
    <i r="1">
      <x v="51"/>
    </i>
    <i r="1">
      <x v="181"/>
    </i>
    <i>
      <x v="4"/>
    </i>
    <i r="1">
      <x v="287"/>
    </i>
    <i r="1">
      <x v="280"/>
    </i>
    <i r="1">
      <x v="52"/>
    </i>
    <i>
      <x v="5"/>
    </i>
    <i r="1">
      <x v="209"/>
    </i>
    <i r="1">
      <x v="12"/>
    </i>
    <i r="1">
      <x v="225"/>
    </i>
    <i r="1">
      <x v="91"/>
    </i>
    <i r="1">
      <x v="285"/>
    </i>
    <i r="1">
      <x v="20"/>
    </i>
    <i r="1">
      <x v="288"/>
    </i>
  </rowItems>
  <colItems count="1">
    <i/>
  </colItems>
  <pageFields count="1">
    <pageField fld="0" item="0" hier="-1"/>
  </pageField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A5D93-E8A5-4C4F-BAC9-62A8F3E3BCF1}" name="PivotTable9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3:H32" firstHeaderRow="1" firstDataRow="1" firstDataCol="1" rowPageCount="1" colPageCount="1"/>
  <pivotFields count="24">
    <pivotField axis="axisPage" showAll="0" defaultSubtotal="0">
      <items count="12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</items>
    </pivotField>
    <pivotField axis="axisRow" showAll="0" defaultSubtotal="0">
      <items count="7">
        <item x="0"/>
        <item x="1"/>
        <item x="2"/>
        <item x="3"/>
        <item x="4"/>
        <item x="5"/>
        <item h="1" x="6"/>
      </items>
    </pivotField>
    <pivotField dataField="1" showAll="0" defaultSubtotal="0"/>
    <pivotField axis="axisRow" showAll="0" sortType="ascending" defaultSubtotal="0">
      <items count="313">
        <item x="85"/>
        <item x="197"/>
        <item x="272"/>
        <item x="164"/>
        <item x="271"/>
        <item x="307"/>
        <item x="299"/>
        <item x="222"/>
        <item x="28"/>
        <item x="144"/>
        <item x="161"/>
        <item x="138"/>
        <item x="236"/>
        <item x="287"/>
        <item x="41"/>
        <item x="58"/>
        <item x="94"/>
        <item x="180"/>
        <item x="9"/>
        <item x="213"/>
        <item x="232"/>
        <item x="14"/>
        <item x="145"/>
        <item x="252"/>
        <item x="188"/>
        <item x="281"/>
        <item x="127"/>
        <item x="132"/>
        <item x="35"/>
        <item x="276"/>
        <item x="31"/>
        <item x="102"/>
        <item x="195"/>
        <item x="105"/>
        <item x="122"/>
        <item x="72"/>
        <item x="269"/>
        <item x="50"/>
        <item x="137"/>
        <item x="178"/>
        <item x="46"/>
        <item x="304"/>
        <item x="4"/>
        <item x="11"/>
        <item x="96"/>
        <item x="229"/>
        <item x="23"/>
        <item x="158"/>
        <item x="261"/>
        <item x="13"/>
        <item x="266"/>
        <item x="116"/>
        <item x="136"/>
        <item x="66"/>
        <item x="256"/>
        <item x="298"/>
        <item x="57"/>
        <item x="62"/>
        <item x="254"/>
        <item x="26"/>
        <item x="107"/>
        <item x="36"/>
        <item x="53"/>
        <item x="282"/>
        <item x="163"/>
        <item x="192"/>
        <item x="95"/>
        <item x="285"/>
        <item x="22"/>
        <item x="141"/>
        <item x="259"/>
        <item x="219"/>
        <item x="226"/>
        <item x="51"/>
        <item x="167"/>
        <item x="42"/>
        <item x="64"/>
        <item x="153"/>
        <item x="5"/>
        <item x="205"/>
        <item x="45"/>
        <item x="92"/>
        <item x="81"/>
        <item x="154"/>
        <item x="143"/>
        <item x="27"/>
        <item x="159"/>
        <item x="97"/>
        <item x="225"/>
        <item x="305"/>
        <item x="279"/>
        <item x="231"/>
        <item x="83"/>
        <item x="301"/>
        <item x="176"/>
        <item x="191"/>
        <item x="12"/>
        <item x="200"/>
        <item x="184"/>
        <item x="267"/>
        <item x="306"/>
        <item x="152"/>
        <item x="283"/>
        <item x="119"/>
        <item x="134"/>
        <item x="251"/>
        <item x="214"/>
        <item x="255"/>
        <item x="70"/>
        <item x="135"/>
        <item x="260"/>
        <item x="40"/>
        <item x="37"/>
        <item x="63"/>
        <item x="183"/>
        <item x="103"/>
        <item x="210"/>
        <item x="157"/>
        <item x="193"/>
        <item x="185"/>
        <item x="308"/>
        <item x="186"/>
        <item x="190"/>
        <item x="29"/>
        <item x="7"/>
        <item x="82"/>
        <item x="194"/>
        <item x="109"/>
        <item x="288"/>
        <item x="124"/>
        <item x="30"/>
        <item x="241"/>
        <item x="100"/>
        <item x="118"/>
        <item x="76"/>
        <item x="196"/>
        <item x="247"/>
        <item x="39"/>
        <item x="257"/>
        <item x="86"/>
        <item x="151"/>
        <item x="139"/>
        <item x="237"/>
        <item x="227"/>
        <item x="59"/>
        <item x="32"/>
        <item x="111"/>
        <item x="201"/>
        <item x="189"/>
        <item x="88"/>
        <item x="121"/>
        <item x="84"/>
        <item x="182"/>
        <item x="104"/>
        <item x="89"/>
        <item x="295"/>
        <item x="258"/>
        <item x="250"/>
        <item x="170"/>
        <item x="212"/>
        <item x="174"/>
        <item x="286"/>
        <item x="181"/>
        <item x="142"/>
        <item x="0"/>
        <item x="8"/>
        <item x="74"/>
        <item x="224"/>
        <item x="290"/>
        <item x="216"/>
        <item x="133"/>
        <item x="312"/>
        <item x="87"/>
        <item x="292"/>
        <item x="16"/>
        <item x="173"/>
        <item x="215"/>
        <item x="275"/>
        <item x="69"/>
        <item x="56"/>
        <item x="207"/>
        <item x="117"/>
        <item x="221"/>
        <item x="253"/>
        <item x="155"/>
        <item x="25"/>
        <item x="125"/>
        <item x="203"/>
        <item x="228"/>
        <item x="78"/>
        <item x="147"/>
        <item x="21"/>
        <item x="169"/>
        <item x="18"/>
        <item x="303"/>
        <item x="65"/>
        <item x="67"/>
        <item x="20"/>
        <item x="77"/>
        <item x="264"/>
        <item x="17"/>
        <item x="289"/>
        <item x="48"/>
        <item x="101"/>
        <item x="123"/>
        <item x="242"/>
        <item x="73"/>
        <item x="297"/>
        <item x="300"/>
        <item x="230"/>
        <item x="112"/>
        <item x="162"/>
        <item x="238"/>
        <item x="61"/>
        <item x="172"/>
        <item x="265"/>
        <item x="294"/>
        <item x="179"/>
        <item x="244"/>
        <item x="15"/>
        <item x="156"/>
        <item x="38"/>
        <item x="291"/>
        <item x="113"/>
        <item x="3"/>
        <item x="235"/>
        <item x="220"/>
        <item x="120"/>
        <item x="106"/>
        <item x="149"/>
        <item x="198"/>
        <item x="262"/>
        <item x="302"/>
        <item x="49"/>
        <item x="175"/>
        <item x="79"/>
        <item x="140"/>
        <item x="284"/>
        <item x="110"/>
        <item x="54"/>
        <item x="270"/>
        <item x="10"/>
        <item x="160"/>
        <item x="202"/>
        <item x="217"/>
        <item x="108"/>
        <item x="240"/>
        <item x="208"/>
        <item x="293"/>
        <item x="19"/>
        <item x="24"/>
        <item x="93"/>
        <item x="177"/>
        <item x="90"/>
        <item x="204"/>
        <item x="239"/>
        <item x="34"/>
        <item x="309"/>
        <item x="99"/>
        <item x="187"/>
        <item x="128"/>
        <item x="148"/>
        <item x="311"/>
        <item x="249"/>
        <item x="263"/>
        <item x="223"/>
        <item x="218"/>
        <item x="211"/>
        <item x="43"/>
        <item x="1"/>
        <item x="146"/>
        <item x="199"/>
        <item x="246"/>
        <item x="296"/>
        <item x="115"/>
        <item x="71"/>
        <item x="129"/>
        <item x="6"/>
        <item x="2"/>
        <item x="60"/>
        <item x="130"/>
        <item x="248"/>
        <item x="75"/>
        <item x="245"/>
        <item x="131"/>
        <item x="233"/>
        <item x="91"/>
        <item x="126"/>
        <item x="234"/>
        <item x="273"/>
        <item x="166"/>
        <item x="98"/>
        <item x="55"/>
        <item x="33"/>
        <item x="280"/>
        <item x="206"/>
        <item x="52"/>
        <item x="150"/>
        <item x="171"/>
        <item x="277"/>
        <item x="278"/>
        <item x="310"/>
        <item x="243"/>
        <item x="68"/>
        <item x="274"/>
        <item x="209"/>
        <item x="44"/>
        <item x="47"/>
        <item x="114"/>
        <item x="268"/>
        <item x="80"/>
        <item x="165"/>
        <item x="16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1"/>
    <field x="3"/>
  </rowFields>
  <rowItems count="29">
    <i>
      <x/>
    </i>
    <i r="1">
      <x v="277"/>
    </i>
    <i>
      <x v="1"/>
    </i>
    <i r="1">
      <x v="14"/>
    </i>
    <i>
      <x v="2"/>
    </i>
    <i r="1">
      <x v="62"/>
    </i>
    <i r="1">
      <x v="179"/>
    </i>
    <i r="1">
      <x v="144"/>
    </i>
    <i>
      <x v="3"/>
    </i>
    <i r="1">
      <x v="206"/>
    </i>
    <i r="1">
      <x v="166"/>
    </i>
    <i r="1">
      <x v="282"/>
    </i>
    <i r="1">
      <x v="134"/>
    </i>
    <i r="1">
      <x v="198"/>
    </i>
    <i>
      <x v="4"/>
    </i>
    <i r="1">
      <x v="150"/>
    </i>
    <i r="1">
      <x v="34"/>
    </i>
    <i r="1">
      <x v="204"/>
    </i>
    <i r="1">
      <x v="141"/>
    </i>
    <i r="1">
      <x v="190"/>
    </i>
    <i r="1">
      <x v="261"/>
    </i>
    <i r="1">
      <x v="86"/>
    </i>
    <i>
      <x v="5"/>
    </i>
    <i r="1">
      <x v="252"/>
    </i>
    <i r="1">
      <x v="243"/>
    </i>
    <i r="1">
      <x v="187"/>
    </i>
    <i r="1">
      <x v="116"/>
    </i>
    <i r="1">
      <x v="182"/>
    </i>
    <i r="1">
      <x v="7"/>
    </i>
  </rowItems>
  <colItems count="1">
    <i/>
  </colItems>
  <pageFields count="1">
    <pageField fld="0" item="4" hier="-1"/>
  </pageFields>
  <dataFields count="1">
    <dataField name="Sum of 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6487B-E990-4F0E-8551-916B47BF56F6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9" firstHeaderRow="1" firstDataRow="2" firstDataCol="1"/>
  <pivotFields count="19">
    <pivotField axis="axisRow" showAll="0">
      <items count="13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  <item t="default"/>
      </items>
    </pivotField>
    <pivotField axis="axisCol" showAll="0">
      <items count="9">
        <item x="0"/>
        <item x="1"/>
        <item x="2"/>
        <item h="1" x="3"/>
        <item h="1" x="4"/>
        <item h="1" x="5"/>
        <item h="1" m="1" x="7"/>
        <item h="1" x="6"/>
        <item t="default"/>
      </items>
    </pivotField>
    <pivotField showAll="0"/>
    <pivotField showAll="0"/>
    <pivotField axis="axisRow" dataField="1" showAll="0" sortType="descending">
      <items count="78">
        <item x="16"/>
        <item x="30"/>
        <item x="12"/>
        <item x="29"/>
        <item x="14"/>
        <item x="45"/>
        <item x="47"/>
        <item x="59"/>
        <item x="53"/>
        <item x="50"/>
        <item x="22"/>
        <item x="46"/>
        <item x="10"/>
        <item x="28"/>
        <item x="25"/>
        <item x="56"/>
        <item x="7"/>
        <item x="48"/>
        <item x="26"/>
        <item x="69"/>
        <item x="40"/>
        <item x="71"/>
        <item x="15"/>
        <item x="19"/>
        <item x="55"/>
        <item x="60"/>
        <item x="52"/>
        <item x="42"/>
        <item x="32"/>
        <item x="3"/>
        <item x="51"/>
        <item x="73"/>
        <item x="1"/>
        <item m="1" x="76"/>
        <item x="38"/>
        <item x="63"/>
        <item x="74"/>
        <item x="62"/>
        <item x="31"/>
        <item x="65"/>
        <item x="44"/>
        <item x="33"/>
        <item x="70"/>
        <item x="36"/>
        <item x="43"/>
        <item x="0"/>
        <item x="4"/>
        <item x="39"/>
        <item x="41"/>
        <item x="8"/>
        <item x="13"/>
        <item x="37"/>
        <item x="17"/>
        <item x="72"/>
        <item x="20"/>
        <item x="68"/>
        <item x="64"/>
        <item x="49"/>
        <item x="27"/>
        <item x="6"/>
        <item x="24"/>
        <item x="9"/>
        <item x="5"/>
        <item x="23"/>
        <item x="21"/>
        <item x="61"/>
        <item x="35"/>
        <item x="11"/>
        <item x="2"/>
        <item x="66"/>
        <item x="34"/>
        <item x="67"/>
        <item x="57"/>
        <item x="18"/>
        <item x="58"/>
        <item x="54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0"/>
  </rowFields>
  <rowItems count="105">
    <i>
      <x v="46"/>
    </i>
    <i r="1">
      <x/>
    </i>
    <i r="1">
      <x v="2"/>
    </i>
    <i r="1">
      <x v="4"/>
    </i>
    <i r="1">
      <x v="8"/>
    </i>
    <i r="1">
      <x v="10"/>
    </i>
    <i r="1">
      <x v="11"/>
    </i>
    <i>
      <x v="61"/>
    </i>
    <i r="1">
      <x/>
    </i>
    <i r="1">
      <x v="2"/>
    </i>
    <i r="1">
      <x v="3"/>
    </i>
    <i r="1">
      <x v="5"/>
    </i>
    <i r="1">
      <x v="10"/>
    </i>
    <i>
      <x v="59"/>
    </i>
    <i r="1">
      <x/>
    </i>
    <i r="1">
      <x v="2"/>
    </i>
    <i r="1">
      <x v="10"/>
    </i>
    <i>
      <x v="12"/>
    </i>
    <i r="1">
      <x/>
    </i>
    <i r="1">
      <x v="2"/>
    </i>
    <i r="1">
      <x v="5"/>
    </i>
    <i r="1">
      <x v="11"/>
    </i>
    <i>
      <x v="16"/>
    </i>
    <i r="1">
      <x v="4"/>
    </i>
    <i r="1">
      <x v="5"/>
    </i>
    <i r="1">
      <x v="10"/>
    </i>
    <i r="1">
      <x v="11"/>
    </i>
    <i>
      <x v="32"/>
    </i>
    <i r="1">
      <x/>
    </i>
    <i r="1">
      <x v="2"/>
    </i>
    <i r="1">
      <x v="5"/>
    </i>
    <i>
      <x v="49"/>
    </i>
    <i r="1">
      <x v="3"/>
    </i>
    <i r="1">
      <x v="8"/>
    </i>
    <i r="1">
      <x v="9"/>
    </i>
    <i>
      <x v="22"/>
    </i>
    <i r="1">
      <x/>
    </i>
    <i r="1">
      <x v="6"/>
    </i>
    <i r="1">
      <x v="10"/>
    </i>
    <i>
      <x v="50"/>
    </i>
    <i r="1">
      <x v="2"/>
    </i>
    <i r="1">
      <x v="3"/>
    </i>
    <i r="1">
      <x v="8"/>
    </i>
    <i>
      <x v="62"/>
    </i>
    <i r="1">
      <x v="2"/>
    </i>
    <i r="1">
      <x v="4"/>
    </i>
    <i>
      <x v="2"/>
    </i>
    <i r="1">
      <x/>
    </i>
    <i r="1">
      <x v="5"/>
    </i>
    <i r="1">
      <x v="10"/>
    </i>
    <i>
      <x/>
    </i>
    <i r="1">
      <x v="5"/>
    </i>
    <i r="1">
      <x v="6"/>
    </i>
    <i>
      <x v="23"/>
    </i>
    <i r="1">
      <x v="3"/>
    </i>
    <i>
      <x v="45"/>
    </i>
    <i r="1">
      <x v="7"/>
    </i>
    <i>
      <x v="67"/>
    </i>
    <i r="1">
      <x v="2"/>
    </i>
    <i r="1">
      <x v="10"/>
    </i>
    <i>
      <x v="68"/>
    </i>
    <i r="1">
      <x v="5"/>
    </i>
    <i>
      <x v="64"/>
    </i>
    <i r="1">
      <x v="2"/>
    </i>
    <i>
      <x v="60"/>
    </i>
    <i r="1">
      <x v="4"/>
    </i>
    <i>
      <x v="58"/>
    </i>
    <i r="1">
      <x v="8"/>
    </i>
    <i>
      <x v="70"/>
    </i>
    <i r="1">
      <x v="9"/>
    </i>
    <i>
      <x v="1"/>
    </i>
    <i r="1">
      <x v="8"/>
    </i>
    <i>
      <x v="14"/>
    </i>
    <i r="1">
      <x v="11"/>
    </i>
    <i>
      <x v="13"/>
    </i>
    <i r="1">
      <x v="2"/>
    </i>
    <i>
      <x v="3"/>
    </i>
    <i r="1">
      <x v="7"/>
    </i>
    <i>
      <x v="28"/>
    </i>
    <i r="1">
      <x v="10"/>
    </i>
    <i>
      <x v="18"/>
    </i>
    <i r="1">
      <x v="3"/>
    </i>
    <i>
      <x v="29"/>
    </i>
    <i r="1">
      <x/>
    </i>
    <i>
      <x v="4"/>
    </i>
    <i r="1">
      <x v="2"/>
    </i>
    <i>
      <x v="63"/>
    </i>
    <i r="1">
      <x v="8"/>
    </i>
    <i>
      <x v="10"/>
    </i>
    <i r="1">
      <x/>
    </i>
    <i>
      <x v="66"/>
    </i>
    <i r="1">
      <x v="10"/>
    </i>
    <i>
      <x v="52"/>
    </i>
    <i r="1">
      <x/>
    </i>
    <i>
      <x v="54"/>
    </i>
    <i r="1">
      <x/>
    </i>
    <i>
      <x v="38"/>
    </i>
    <i r="1">
      <x v="4"/>
    </i>
    <i>
      <x v="73"/>
    </i>
    <i r="1">
      <x v="10"/>
    </i>
    <i>
      <x v="41"/>
    </i>
    <i r="1">
      <x v="7"/>
    </i>
    <i>
      <x v="43"/>
    </i>
    <i r="1">
      <x v="1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chool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C47B2-96FC-4481-8BB0-E286861E8814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6" firstHeaderRow="1" firstDataRow="2" firstDataCol="1"/>
  <pivotFields count="24">
    <pivotField axis="axisRow" showAll="0">
      <items count="13">
        <item x="3"/>
        <item m="1" x="11"/>
        <item x="1"/>
        <item x="8"/>
        <item x="5"/>
        <item x="2"/>
        <item x="10"/>
        <item x="0"/>
        <item x="4"/>
        <item x="7"/>
        <item x="6"/>
        <item x="9"/>
        <item t="default"/>
      </items>
    </pivotField>
    <pivotField axis="axisCol"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Rd" fld="1" subtotal="count" baseField="0" baseItem="4"/>
  </dataFields>
  <conditionalFormats count="2"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1BEF-6F81-42BF-B112-39FDC2F23279}">
  <dimension ref="A1:Q39"/>
  <sheetViews>
    <sheetView workbookViewId="0">
      <selection activeCell="H28" sqref="H28"/>
    </sheetView>
  </sheetViews>
  <sheetFormatPr defaultRowHeight="15" x14ac:dyDescent="0.25"/>
  <cols>
    <col min="1" max="1" width="21.5703125" bestFit="1" customWidth="1"/>
    <col min="2" max="2" width="12.140625" bestFit="1" customWidth="1"/>
    <col min="3" max="3" width="4.42578125" bestFit="1" customWidth="1"/>
    <col min="4" max="4" width="22.42578125" bestFit="1" customWidth="1"/>
    <col min="5" max="5" width="12.140625" bestFit="1" customWidth="1"/>
    <col min="6" max="6" width="4.42578125" bestFit="1" customWidth="1"/>
    <col min="7" max="7" width="19.7109375" bestFit="1" customWidth="1"/>
    <col min="8" max="8" width="12.140625" bestFit="1" customWidth="1"/>
    <col min="9" max="9" width="4.42578125" bestFit="1" customWidth="1"/>
    <col min="10" max="10" width="25.140625" bestFit="1" customWidth="1"/>
    <col min="11" max="11" width="12.140625" bestFit="1" customWidth="1"/>
    <col min="12" max="12" width="4.42578125" bestFit="1" customWidth="1"/>
    <col min="13" max="13" width="22.28515625" bestFit="1" customWidth="1"/>
    <col min="14" max="14" width="12.140625" bestFit="1" customWidth="1"/>
    <col min="15" max="15" width="4.42578125" bestFit="1" customWidth="1"/>
    <col min="16" max="16" width="21.85546875" bestFit="1" customWidth="1"/>
    <col min="17" max="17" width="12.140625" bestFit="1" customWidth="1"/>
  </cols>
  <sheetData>
    <row r="1" spans="1:17" x14ac:dyDescent="0.25">
      <c r="A1" s="39" t="s">
        <v>0</v>
      </c>
      <c r="B1" t="s">
        <v>27</v>
      </c>
      <c r="D1" s="39" t="s">
        <v>0</v>
      </c>
      <c r="E1" t="s">
        <v>32</v>
      </c>
      <c r="G1" s="39" t="s">
        <v>0</v>
      </c>
      <c r="H1" t="s">
        <v>99</v>
      </c>
      <c r="J1" s="39" t="s">
        <v>0</v>
      </c>
      <c r="K1" t="s">
        <v>54</v>
      </c>
      <c r="M1" s="39" t="s">
        <v>0</v>
      </c>
      <c r="N1" t="s">
        <v>83</v>
      </c>
      <c r="P1" s="39" t="s">
        <v>0</v>
      </c>
      <c r="Q1" t="s">
        <v>16</v>
      </c>
    </row>
    <row r="3" spans="1:17" x14ac:dyDescent="0.25">
      <c r="A3" s="39" t="s">
        <v>671</v>
      </c>
      <c r="B3" t="s">
        <v>785</v>
      </c>
      <c r="D3" s="39" t="s">
        <v>671</v>
      </c>
      <c r="E3" t="s">
        <v>785</v>
      </c>
      <c r="G3" s="39" t="s">
        <v>671</v>
      </c>
      <c r="H3" t="s">
        <v>785</v>
      </c>
      <c r="J3" s="39" t="s">
        <v>671</v>
      </c>
      <c r="K3" t="s">
        <v>785</v>
      </c>
      <c r="M3" s="39" t="s">
        <v>671</v>
      </c>
      <c r="N3" t="s">
        <v>785</v>
      </c>
      <c r="P3" s="39" t="s">
        <v>671</v>
      </c>
      <c r="Q3" t="s">
        <v>785</v>
      </c>
    </row>
    <row r="4" spans="1:17" x14ac:dyDescent="0.25">
      <c r="A4" s="40">
        <v>1</v>
      </c>
      <c r="B4" s="79"/>
      <c r="D4" s="40">
        <v>1</v>
      </c>
      <c r="E4" s="79"/>
      <c r="G4" s="40">
        <v>1</v>
      </c>
      <c r="H4" s="79"/>
      <c r="J4" s="40">
        <v>1</v>
      </c>
      <c r="K4" s="79"/>
      <c r="M4" s="40">
        <v>1</v>
      </c>
      <c r="N4" s="79"/>
      <c r="P4" s="40">
        <v>2</v>
      </c>
      <c r="Q4" s="79"/>
    </row>
    <row r="5" spans="1:17" x14ac:dyDescent="0.25">
      <c r="A5" s="41" t="s">
        <v>28</v>
      </c>
      <c r="B5" s="79">
        <v>5</v>
      </c>
      <c r="D5" s="41" t="s">
        <v>74</v>
      </c>
      <c r="E5" s="79">
        <v>25</v>
      </c>
      <c r="G5" s="41" t="s">
        <v>100</v>
      </c>
      <c r="H5" s="79">
        <v>25</v>
      </c>
      <c r="J5" s="41" t="s">
        <v>90</v>
      </c>
      <c r="K5" s="79">
        <v>10</v>
      </c>
      <c r="M5" s="41" t="s">
        <v>84</v>
      </c>
      <c r="N5" s="79">
        <v>30</v>
      </c>
      <c r="P5" s="41" t="s">
        <v>17</v>
      </c>
      <c r="Q5" s="79">
        <v>45</v>
      </c>
    </row>
    <row r="6" spans="1:17" x14ac:dyDescent="0.25">
      <c r="A6" s="40">
        <v>2</v>
      </c>
      <c r="B6" s="79"/>
      <c r="D6" s="41" t="s">
        <v>33</v>
      </c>
      <c r="E6" s="79">
        <v>25</v>
      </c>
      <c r="G6" s="40">
        <v>3</v>
      </c>
      <c r="H6" s="79"/>
      <c r="J6" s="41" t="s">
        <v>55</v>
      </c>
      <c r="K6" s="79">
        <v>15</v>
      </c>
      <c r="M6" s="40">
        <v>2</v>
      </c>
      <c r="N6" s="79"/>
      <c r="P6" s="41" t="s">
        <v>41</v>
      </c>
      <c r="Q6" s="79">
        <v>50</v>
      </c>
    </row>
    <row r="7" spans="1:17" x14ac:dyDescent="0.25">
      <c r="A7" s="41" t="s">
        <v>197</v>
      </c>
      <c r="B7" s="79">
        <v>50</v>
      </c>
      <c r="D7" s="41" t="s">
        <v>137</v>
      </c>
      <c r="E7" s="79">
        <v>29</v>
      </c>
      <c r="G7" s="41" t="s">
        <v>193</v>
      </c>
      <c r="H7" s="79">
        <v>100</v>
      </c>
      <c r="J7" s="41" t="s">
        <v>236</v>
      </c>
      <c r="K7" s="79">
        <v>20</v>
      </c>
      <c r="M7" s="41" t="s">
        <v>575</v>
      </c>
      <c r="N7" s="79">
        <v>45</v>
      </c>
      <c r="P7" s="40">
        <v>4</v>
      </c>
      <c r="Q7" s="79"/>
    </row>
    <row r="8" spans="1:17" x14ac:dyDescent="0.25">
      <c r="A8" s="40">
        <v>3</v>
      </c>
      <c r="B8" s="79"/>
      <c r="D8" s="40">
        <v>2</v>
      </c>
      <c r="E8" s="79"/>
      <c r="G8" s="40">
        <v>4</v>
      </c>
      <c r="H8" s="79"/>
      <c r="J8" s="41" t="s">
        <v>133</v>
      </c>
      <c r="K8" s="79">
        <v>20</v>
      </c>
      <c r="M8" s="41" t="s">
        <v>568</v>
      </c>
      <c r="N8" s="79">
        <v>55</v>
      </c>
      <c r="P8" s="41" t="s">
        <v>322</v>
      </c>
      <c r="Q8" s="79">
        <v>120</v>
      </c>
    </row>
    <row r="9" spans="1:17" x14ac:dyDescent="0.25">
      <c r="A9" s="41" t="s">
        <v>245</v>
      </c>
      <c r="B9" s="79">
        <v>90</v>
      </c>
      <c r="D9" s="41" t="s">
        <v>46</v>
      </c>
      <c r="E9" s="79">
        <v>38</v>
      </c>
      <c r="G9" s="41" t="s">
        <v>285</v>
      </c>
      <c r="H9" s="79">
        <v>120</v>
      </c>
      <c r="J9" s="40">
        <v>2</v>
      </c>
      <c r="K9" s="79"/>
      <c r="M9" s="41" t="s">
        <v>550</v>
      </c>
      <c r="N9" s="79">
        <v>70</v>
      </c>
      <c r="P9" s="41" t="s">
        <v>118</v>
      </c>
      <c r="Q9" s="79">
        <v>130</v>
      </c>
    </row>
    <row r="10" spans="1:17" x14ac:dyDescent="0.25">
      <c r="A10" s="41" t="s">
        <v>204</v>
      </c>
      <c r="B10" s="79">
        <v>95</v>
      </c>
      <c r="D10" s="41" t="s">
        <v>153</v>
      </c>
      <c r="E10" s="79">
        <v>40</v>
      </c>
      <c r="G10" s="41" t="s">
        <v>200</v>
      </c>
      <c r="H10" s="79">
        <v>130</v>
      </c>
      <c r="J10" s="41" t="s">
        <v>179</v>
      </c>
      <c r="K10" s="79">
        <v>40</v>
      </c>
      <c r="M10" s="40">
        <v>3</v>
      </c>
      <c r="N10" s="79"/>
      <c r="P10" s="40">
        <v>5</v>
      </c>
      <c r="Q10" s="79"/>
    </row>
    <row r="11" spans="1:17" x14ac:dyDescent="0.25">
      <c r="A11" s="40">
        <v>4</v>
      </c>
      <c r="B11" s="79"/>
      <c r="D11" s="41" t="s">
        <v>129</v>
      </c>
      <c r="E11" s="79">
        <v>45</v>
      </c>
      <c r="G11" s="41" t="s">
        <v>222</v>
      </c>
      <c r="H11" s="79">
        <v>145</v>
      </c>
      <c r="J11" s="41" t="s">
        <v>233</v>
      </c>
      <c r="K11" s="79">
        <v>55</v>
      </c>
      <c r="M11" s="41" t="s">
        <v>513</v>
      </c>
      <c r="N11" s="79">
        <v>95</v>
      </c>
      <c r="P11" s="41" t="s">
        <v>326</v>
      </c>
      <c r="Q11" s="79">
        <v>145</v>
      </c>
    </row>
    <row r="12" spans="1:17" x14ac:dyDescent="0.25">
      <c r="A12" s="41" t="s">
        <v>225</v>
      </c>
      <c r="B12" s="79">
        <v>115</v>
      </c>
      <c r="D12" s="41" t="s">
        <v>207</v>
      </c>
      <c r="E12" s="79">
        <v>65</v>
      </c>
      <c r="G12" s="40">
        <v>5</v>
      </c>
      <c r="H12" s="79"/>
      <c r="J12" s="40">
        <v>3</v>
      </c>
      <c r="K12" s="79"/>
      <c r="M12" s="41" t="s">
        <v>169</v>
      </c>
      <c r="N12" s="79">
        <v>97</v>
      </c>
      <c r="P12" s="41" t="s">
        <v>231</v>
      </c>
      <c r="Q12" s="79">
        <v>150</v>
      </c>
    </row>
    <row r="13" spans="1:17" x14ac:dyDescent="0.25">
      <c r="A13" s="41" t="s">
        <v>241</v>
      </c>
      <c r="B13" s="79">
        <v>130</v>
      </c>
      <c r="D13" s="40">
        <v>3</v>
      </c>
      <c r="E13" s="79"/>
      <c r="G13" s="41" t="s">
        <v>251</v>
      </c>
      <c r="H13" s="79">
        <v>159</v>
      </c>
      <c r="J13" s="41" t="s">
        <v>618</v>
      </c>
      <c r="K13" s="79">
        <v>80</v>
      </c>
      <c r="M13" s="40">
        <v>4</v>
      </c>
      <c r="N13" s="79"/>
      <c r="P13" s="41" t="s">
        <v>156</v>
      </c>
      <c r="Q13" s="79">
        <v>150</v>
      </c>
    </row>
    <row r="14" spans="1:17" x14ac:dyDescent="0.25">
      <c r="A14" s="41" t="s">
        <v>308</v>
      </c>
      <c r="B14" s="79">
        <v>135</v>
      </c>
      <c r="D14" s="41" t="s">
        <v>210</v>
      </c>
      <c r="E14" s="79">
        <v>91</v>
      </c>
      <c r="G14" s="40">
        <v>6</v>
      </c>
      <c r="H14" s="79"/>
      <c r="J14" s="41" t="s">
        <v>637</v>
      </c>
      <c r="K14" s="79">
        <v>85</v>
      </c>
      <c r="M14" s="41" t="s">
        <v>583</v>
      </c>
      <c r="N14" s="79">
        <v>115</v>
      </c>
      <c r="P14" s="41" t="s">
        <v>232</v>
      </c>
      <c r="Q14" s="79">
        <v>160</v>
      </c>
    </row>
    <row r="15" spans="1:17" x14ac:dyDescent="0.25">
      <c r="A15" s="40">
        <v>5</v>
      </c>
      <c r="B15" s="79"/>
      <c r="D15" s="41" t="s">
        <v>150</v>
      </c>
      <c r="E15" s="79">
        <v>95</v>
      </c>
      <c r="G15" s="41" t="s">
        <v>318</v>
      </c>
      <c r="H15" s="79">
        <v>160</v>
      </c>
      <c r="J15" s="40">
        <v>4</v>
      </c>
      <c r="K15" s="79"/>
      <c r="M15" s="41" t="s">
        <v>572</v>
      </c>
      <c r="N15" s="79">
        <v>118</v>
      </c>
    </row>
    <row r="16" spans="1:17" x14ac:dyDescent="0.25">
      <c r="A16" s="41" t="s">
        <v>301</v>
      </c>
      <c r="B16" s="79">
        <v>160</v>
      </c>
      <c r="D16" s="41" t="s">
        <v>213</v>
      </c>
      <c r="E16" s="79">
        <v>105</v>
      </c>
      <c r="G16" s="41" t="s">
        <v>154</v>
      </c>
      <c r="H16" s="79">
        <v>165</v>
      </c>
      <c r="J16" s="41" t="s">
        <v>569</v>
      </c>
      <c r="K16" s="79">
        <v>115</v>
      </c>
      <c r="M16" s="41" t="s">
        <v>482</v>
      </c>
      <c r="N16" s="79">
        <v>119</v>
      </c>
    </row>
    <row r="17" spans="1:14" x14ac:dyDescent="0.25">
      <c r="A17" s="41" t="s">
        <v>277</v>
      </c>
      <c r="B17" s="79">
        <v>161</v>
      </c>
      <c r="D17" s="41" t="s">
        <v>334</v>
      </c>
      <c r="E17" s="79">
        <v>109</v>
      </c>
      <c r="G17" s="41" t="s">
        <v>365</v>
      </c>
      <c r="H17" s="79">
        <v>180</v>
      </c>
      <c r="J17" s="41" t="s">
        <v>640</v>
      </c>
      <c r="K17" s="79">
        <v>120</v>
      </c>
      <c r="M17" s="41" t="s">
        <v>630</v>
      </c>
      <c r="N17" s="79">
        <v>121</v>
      </c>
    </row>
    <row r="18" spans="1:14" x14ac:dyDescent="0.25">
      <c r="A18" s="41" t="s">
        <v>333</v>
      </c>
      <c r="B18" s="79">
        <v>162</v>
      </c>
      <c r="D18" s="40">
        <v>4</v>
      </c>
      <c r="E18" s="79"/>
      <c r="G18" s="41" t="s">
        <v>331</v>
      </c>
      <c r="H18" s="79">
        <v>190</v>
      </c>
      <c r="J18" s="40">
        <v>5</v>
      </c>
      <c r="K18" s="79"/>
      <c r="M18" s="41" t="s">
        <v>610</v>
      </c>
      <c r="N18" s="79">
        <v>125</v>
      </c>
    </row>
    <row r="19" spans="1:14" x14ac:dyDescent="0.25">
      <c r="A19" s="41" t="s">
        <v>320</v>
      </c>
      <c r="B19" s="79">
        <v>162</v>
      </c>
      <c r="D19" s="41" t="s">
        <v>278</v>
      </c>
      <c r="E19" s="79">
        <v>114</v>
      </c>
      <c r="G19" s="41" t="s">
        <v>270</v>
      </c>
      <c r="H19" s="79">
        <v>190</v>
      </c>
      <c r="J19" s="41" t="s">
        <v>623</v>
      </c>
      <c r="K19" s="79">
        <v>140</v>
      </c>
      <c r="M19" s="40">
        <v>5</v>
      </c>
      <c r="N19" s="79"/>
    </row>
    <row r="20" spans="1:14" x14ac:dyDescent="0.25">
      <c r="A20" s="41" t="s">
        <v>783</v>
      </c>
      <c r="B20" s="79">
        <v>170</v>
      </c>
      <c r="D20" s="41" t="s">
        <v>383</v>
      </c>
      <c r="E20" s="79">
        <v>115</v>
      </c>
      <c r="G20" s="41" t="s">
        <v>220</v>
      </c>
      <c r="H20" s="79">
        <v>190</v>
      </c>
      <c r="J20" s="41" t="s">
        <v>612</v>
      </c>
      <c r="K20" s="79">
        <v>155</v>
      </c>
      <c r="M20" s="41" t="s">
        <v>591</v>
      </c>
      <c r="N20" s="79">
        <v>142</v>
      </c>
    </row>
    <row r="21" spans="1:14" x14ac:dyDescent="0.25">
      <c r="A21" s="41" t="s">
        <v>242</v>
      </c>
      <c r="B21" s="79">
        <v>171</v>
      </c>
      <c r="D21" s="41" t="s">
        <v>216</v>
      </c>
      <c r="E21" s="79">
        <v>120</v>
      </c>
      <c r="G21" s="41" t="s">
        <v>347</v>
      </c>
      <c r="H21" s="79">
        <v>190</v>
      </c>
      <c r="J21" s="40">
        <v>6</v>
      </c>
      <c r="K21" s="79"/>
      <c r="M21" s="41" t="s">
        <v>625</v>
      </c>
      <c r="N21" s="79">
        <v>150</v>
      </c>
    </row>
    <row r="22" spans="1:14" x14ac:dyDescent="0.25">
      <c r="A22" s="40">
        <v>6</v>
      </c>
      <c r="B22" s="79"/>
      <c r="D22" s="41" t="s">
        <v>182</v>
      </c>
      <c r="E22" s="79">
        <v>123</v>
      </c>
      <c r="J22" s="41" t="s">
        <v>620</v>
      </c>
      <c r="K22" s="79">
        <v>170</v>
      </c>
      <c r="M22" s="41" t="s">
        <v>611</v>
      </c>
      <c r="N22" s="79">
        <v>151</v>
      </c>
    </row>
    <row r="23" spans="1:14" x14ac:dyDescent="0.25">
      <c r="A23" s="41" t="s">
        <v>294</v>
      </c>
      <c r="B23" s="79">
        <v>179</v>
      </c>
      <c r="D23" s="41" t="s">
        <v>250</v>
      </c>
      <c r="E23" s="79">
        <v>125</v>
      </c>
      <c r="J23" s="41" t="s">
        <v>615</v>
      </c>
      <c r="K23" s="79">
        <v>175</v>
      </c>
      <c r="M23" s="41" t="s">
        <v>161</v>
      </c>
      <c r="N23" s="79">
        <v>152</v>
      </c>
    </row>
    <row r="24" spans="1:14" x14ac:dyDescent="0.25">
      <c r="A24" s="41" t="s">
        <v>255</v>
      </c>
      <c r="B24" s="79">
        <v>185</v>
      </c>
      <c r="D24" s="40">
        <v>5</v>
      </c>
      <c r="E24" s="79"/>
      <c r="J24" s="41" t="s">
        <v>616</v>
      </c>
      <c r="K24" s="79">
        <v>180</v>
      </c>
      <c r="M24" s="41" t="s">
        <v>594</v>
      </c>
      <c r="N24" s="79">
        <v>154</v>
      </c>
    </row>
    <row r="25" spans="1:14" x14ac:dyDescent="0.25">
      <c r="A25" s="41" t="s">
        <v>307</v>
      </c>
      <c r="B25" s="79">
        <v>186</v>
      </c>
      <c r="D25" s="41" t="s">
        <v>338</v>
      </c>
      <c r="E25" s="79">
        <v>145</v>
      </c>
      <c r="J25" s="41" t="s">
        <v>607</v>
      </c>
      <c r="K25" s="79">
        <v>185</v>
      </c>
      <c r="M25" s="41" t="s">
        <v>564</v>
      </c>
      <c r="N25" s="79">
        <v>155</v>
      </c>
    </row>
    <row r="26" spans="1:14" x14ac:dyDescent="0.25">
      <c r="A26" s="41" t="s">
        <v>295</v>
      </c>
      <c r="B26" s="79">
        <v>188</v>
      </c>
      <c r="D26" s="41" t="s">
        <v>160</v>
      </c>
      <c r="E26" s="79">
        <v>150</v>
      </c>
      <c r="J26" s="41" t="s">
        <v>272</v>
      </c>
      <c r="K26" s="79">
        <v>189</v>
      </c>
      <c r="M26" s="40">
        <v>6</v>
      </c>
      <c r="N26" s="79"/>
    </row>
    <row r="27" spans="1:14" x14ac:dyDescent="0.25">
      <c r="A27" s="41" t="s">
        <v>304</v>
      </c>
      <c r="B27" s="79">
        <v>189</v>
      </c>
      <c r="D27" s="41" t="s">
        <v>392</v>
      </c>
      <c r="E27" s="79">
        <v>155</v>
      </c>
      <c r="J27" s="41" t="s">
        <v>645</v>
      </c>
      <c r="K27" s="79">
        <v>190</v>
      </c>
      <c r="M27" s="41" t="s">
        <v>634</v>
      </c>
      <c r="N27" s="79">
        <v>153</v>
      </c>
    </row>
    <row r="28" spans="1:14" x14ac:dyDescent="0.25">
      <c r="A28" s="41" t="s">
        <v>418</v>
      </c>
      <c r="B28" s="79">
        <v>190</v>
      </c>
      <c r="D28" s="41" t="s">
        <v>390</v>
      </c>
      <c r="E28" s="79">
        <v>159</v>
      </c>
      <c r="M28" s="41" t="s">
        <v>619</v>
      </c>
      <c r="N28" s="79">
        <v>174</v>
      </c>
    </row>
    <row r="29" spans="1:14" x14ac:dyDescent="0.25">
      <c r="A29" s="41" t="s">
        <v>292</v>
      </c>
      <c r="B29" s="79">
        <v>190</v>
      </c>
      <c r="D29" s="41" t="s">
        <v>396</v>
      </c>
      <c r="E29" s="79">
        <v>160</v>
      </c>
      <c r="M29" s="41" t="s">
        <v>518</v>
      </c>
      <c r="N29" s="79">
        <v>175</v>
      </c>
    </row>
    <row r="30" spans="1:14" x14ac:dyDescent="0.25">
      <c r="D30" s="41" t="s">
        <v>275</v>
      </c>
      <c r="E30" s="79">
        <v>160</v>
      </c>
      <c r="M30" s="41" t="s">
        <v>545</v>
      </c>
      <c r="N30" s="79">
        <v>177</v>
      </c>
    </row>
    <row r="31" spans="1:14" x14ac:dyDescent="0.25">
      <c r="D31" s="41" t="s">
        <v>284</v>
      </c>
      <c r="E31" s="79">
        <v>160</v>
      </c>
      <c r="M31" s="41" t="s">
        <v>551</v>
      </c>
      <c r="N31" s="79">
        <v>178</v>
      </c>
    </row>
    <row r="32" spans="1:14" x14ac:dyDescent="0.25">
      <c r="D32" s="40">
        <v>6</v>
      </c>
      <c r="E32" s="79"/>
      <c r="M32" s="41" t="s">
        <v>577</v>
      </c>
      <c r="N32" s="79">
        <v>180</v>
      </c>
    </row>
    <row r="33" spans="4:14" x14ac:dyDescent="0.25">
      <c r="D33" s="41" t="s">
        <v>311</v>
      </c>
      <c r="E33" s="79">
        <v>159</v>
      </c>
      <c r="M33" s="41" t="s">
        <v>553</v>
      </c>
      <c r="N33" s="79">
        <v>180</v>
      </c>
    </row>
    <row r="34" spans="4:14" x14ac:dyDescent="0.25">
      <c r="D34" s="41" t="s">
        <v>389</v>
      </c>
      <c r="E34" s="79">
        <v>175</v>
      </c>
      <c r="M34" s="41" t="s">
        <v>519</v>
      </c>
      <c r="N34" s="79">
        <v>180</v>
      </c>
    </row>
    <row r="35" spans="4:14" x14ac:dyDescent="0.25">
      <c r="D35" s="41" t="s">
        <v>289</v>
      </c>
      <c r="E35" s="79">
        <v>180</v>
      </c>
      <c r="M35" s="41" t="s">
        <v>613</v>
      </c>
      <c r="N35" s="79">
        <v>180</v>
      </c>
    </row>
    <row r="36" spans="4:14" x14ac:dyDescent="0.25">
      <c r="D36" s="41" t="s">
        <v>395</v>
      </c>
      <c r="E36" s="79">
        <v>180</v>
      </c>
      <c r="M36" s="41" t="s">
        <v>593</v>
      </c>
      <c r="N36" s="79">
        <v>180</v>
      </c>
    </row>
    <row r="37" spans="4:14" x14ac:dyDescent="0.25">
      <c r="D37" s="41" t="s">
        <v>291</v>
      </c>
      <c r="E37" s="79">
        <v>180</v>
      </c>
      <c r="M37" s="41" t="s">
        <v>557</v>
      </c>
      <c r="N37" s="79">
        <v>180</v>
      </c>
    </row>
    <row r="38" spans="4:14" x14ac:dyDescent="0.25">
      <c r="D38" s="41" t="s">
        <v>258</v>
      </c>
      <c r="E38" s="79">
        <v>180</v>
      </c>
      <c r="M38" s="41" t="s">
        <v>632</v>
      </c>
      <c r="N38" s="79">
        <v>180</v>
      </c>
    </row>
    <row r="39" spans="4:14" x14ac:dyDescent="0.25">
      <c r="D39" s="41" t="s">
        <v>287</v>
      </c>
      <c r="E39" s="79">
        <v>180</v>
      </c>
      <c r="M39" s="41" t="s">
        <v>592</v>
      </c>
      <c r="N39" s="79">
        <v>180</v>
      </c>
    </row>
  </sheetData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DD37-4193-490D-8D1B-6D568A329A30}">
  <dimension ref="A1:N39"/>
  <sheetViews>
    <sheetView workbookViewId="0">
      <selection activeCell="N31" sqref="N31"/>
    </sheetView>
  </sheetViews>
  <sheetFormatPr defaultRowHeight="15" x14ac:dyDescent="0.25"/>
  <cols>
    <col min="1" max="1" width="22" bestFit="1" customWidth="1"/>
    <col min="2" max="2" width="12.140625" bestFit="1" customWidth="1"/>
    <col min="3" max="3" width="4.42578125" bestFit="1" customWidth="1"/>
    <col min="4" max="4" width="22" bestFit="1" customWidth="1"/>
    <col min="5" max="5" width="12.140625" bestFit="1" customWidth="1"/>
    <col min="6" max="6" width="4.42578125" bestFit="1" customWidth="1"/>
    <col min="7" max="7" width="20.42578125" bestFit="1" customWidth="1"/>
    <col min="8" max="8" width="12.140625" bestFit="1" customWidth="1"/>
    <col min="9" max="9" width="4.42578125" bestFit="1" customWidth="1"/>
    <col min="10" max="10" width="21.5703125" bestFit="1" customWidth="1"/>
    <col min="11" max="11" width="12.140625" bestFit="1" customWidth="1"/>
    <col min="12" max="12" width="4.42578125" bestFit="1" customWidth="1"/>
    <col min="13" max="13" width="28.42578125" bestFit="1" customWidth="1"/>
    <col min="14" max="14" width="12.140625" bestFit="1" customWidth="1"/>
  </cols>
  <sheetData>
    <row r="1" spans="1:14" x14ac:dyDescent="0.25">
      <c r="A1" s="39" t="s">
        <v>0</v>
      </c>
      <c r="B1" t="s">
        <v>36</v>
      </c>
      <c r="D1" s="39" t="s">
        <v>0</v>
      </c>
      <c r="E1" t="s">
        <v>36</v>
      </c>
      <c r="G1" s="39" t="s">
        <v>0</v>
      </c>
      <c r="H1" t="s">
        <v>69</v>
      </c>
      <c r="J1" s="39" t="s">
        <v>0</v>
      </c>
      <c r="K1" t="s">
        <v>59</v>
      </c>
      <c r="M1" s="39" t="s">
        <v>0</v>
      </c>
      <c r="N1" t="s">
        <v>22</v>
      </c>
    </row>
    <row r="3" spans="1:14" x14ac:dyDescent="0.25">
      <c r="A3" s="39" t="s">
        <v>671</v>
      </c>
      <c r="B3" t="s">
        <v>785</v>
      </c>
      <c r="D3" s="39" t="s">
        <v>671</v>
      </c>
      <c r="E3" t="s">
        <v>785</v>
      </c>
      <c r="G3" s="39" t="s">
        <v>671</v>
      </c>
      <c r="H3" t="s">
        <v>785</v>
      </c>
      <c r="J3" s="39" t="s">
        <v>671</v>
      </c>
      <c r="K3" t="s">
        <v>785</v>
      </c>
      <c r="M3" s="39" t="s">
        <v>671</v>
      </c>
      <c r="N3" t="s">
        <v>785</v>
      </c>
    </row>
    <row r="4" spans="1:14" x14ac:dyDescent="0.25">
      <c r="A4" s="40">
        <v>1</v>
      </c>
      <c r="B4" s="79"/>
      <c r="D4" s="40">
        <v>1</v>
      </c>
      <c r="E4" s="79"/>
      <c r="G4" s="40">
        <v>1</v>
      </c>
      <c r="H4" s="79"/>
      <c r="J4" s="40">
        <v>1</v>
      </c>
      <c r="K4" s="79"/>
      <c r="M4" s="40">
        <v>1</v>
      </c>
      <c r="N4" s="79"/>
    </row>
    <row r="5" spans="1:14" x14ac:dyDescent="0.25">
      <c r="A5" s="41" t="s">
        <v>50</v>
      </c>
      <c r="B5" s="79">
        <v>7</v>
      </c>
      <c r="D5" s="41" t="s">
        <v>50</v>
      </c>
      <c r="E5" s="79">
        <v>7</v>
      </c>
      <c r="G5" s="41" t="s">
        <v>70</v>
      </c>
      <c r="H5" s="79">
        <v>15</v>
      </c>
      <c r="J5" s="41" t="s">
        <v>60</v>
      </c>
      <c r="K5" s="79">
        <v>10</v>
      </c>
      <c r="M5" s="41" t="s">
        <v>23</v>
      </c>
      <c r="N5" s="79">
        <v>10</v>
      </c>
    </row>
    <row r="6" spans="1:14" x14ac:dyDescent="0.25">
      <c r="A6" s="41" t="s">
        <v>105</v>
      </c>
      <c r="B6" s="79">
        <v>10</v>
      </c>
      <c r="D6" s="41" t="s">
        <v>105</v>
      </c>
      <c r="E6" s="79">
        <v>10</v>
      </c>
      <c r="G6" s="40">
        <v>2</v>
      </c>
      <c r="H6" s="79"/>
      <c r="J6" s="41" t="s">
        <v>79</v>
      </c>
      <c r="K6" s="79">
        <v>15</v>
      </c>
      <c r="M6" s="41" t="s">
        <v>143</v>
      </c>
      <c r="N6" s="79">
        <v>20</v>
      </c>
    </row>
    <row r="7" spans="1:14" x14ac:dyDescent="0.25">
      <c r="A7" s="41" t="s">
        <v>37</v>
      </c>
      <c r="B7" s="79">
        <v>15</v>
      </c>
      <c r="D7" s="41" t="s">
        <v>37</v>
      </c>
      <c r="E7" s="79">
        <v>15</v>
      </c>
      <c r="G7" s="41" t="s">
        <v>489</v>
      </c>
      <c r="H7" s="79">
        <v>62</v>
      </c>
      <c r="J7" s="41" t="s">
        <v>111</v>
      </c>
      <c r="K7" s="79">
        <v>24</v>
      </c>
      <c r="M7" s="40">
        <v>2</v>
      </c>
      <c r="N7" s="79"/>
    </row>
    <row r="8" spans="1:14" x14ac:dyDescent="0.25">
      <c r="A8" s="41" t="s">
        <v>508</v>
      </c>
      <c r="B8" s="79">
        <v>23</v>
      </c>
      <c r="D8" s="41" t="s">
        <v>508</v>
      </c>
      <c r="E8" s="79">
        <v>23</v>
      </c>
      <c r="G8" s="40">
        <v>3</v>
      </c>
      <c r="H8" s="79"/>
      <c r="J8" s="40">
        <v>2</v>
      </c>
      <c r="K8" s="79"/>
      <c r="M8" s="41" t="s">
        <v>124</v>
      </c>
      <c r="N8" s="79">
        <v>60</v>
      </c>
    </row>
    <row r="9" spans="1:14" x14ac:dyDescent="0.25">
      <c r="A9" s="41" t="s">
        <v>605</v>
      </c>
      <c r="B9" s="79">
        <v>31</v>
      </c>
      <c r="D9" s="41" t="s">
        <v>605</v>
      </c>
      <c r="E9" s="79">
        <v>31</v>
      </c>
      <c r="G9" s="41" t="s">
        <v>114</v>
      </c>
      <c r="H9" s="79">
        <v>90</v>
      </c>
      <c r="J9" s="41" t="s">
        <v>218</v>
      </c>
      <c r="K9" s="79">
        <v>36</v>
      </c>
      <c r="M9" s="41" t="s">
        <v>521</v>
      </c>
      <c r="N9" s="79">
        <v>70</v>
      </c>
    </row>
    <row r="10" spans="1:14" x14ac:dyDescent="0.25">
      <c r="A10" s="40">
        <v>2</v>
      </c>
      <c r="B10" s="79"/>
      <c r="D10" s="40">
        <v>2</v>
      </c>
      <c r="E10" s="79"/>
      <c r="G10" s="41" t="s">
        <v>184</v>
      </c>
      <c r="H10" s="79">
        <v>91</v>
      </c>
      <c r="J10" s="41" t="s">
        <v>427</v>
      </c>
      <c r="K10" s="79">
        <v>45</v>
      </c>
      <c r="M10" s="40">
        <v>3</v>
      </c>
      <c r="N10" s="79"/>
    </row>
    <row r="11" spans="1:14" x14ac:dyDescent="0.25">
      <c r="A11" s="41" t="s">
        <v>526</v>
      </c>
      <c r="B11" s="79">
        <v>45</v>
      </c>
      <c r="D11" s="41" t="s">
        <v>526</v>
      </c>
      <c r="E11" s="79">
        <v>45</v>
      </c>
      <c r="G11" s="41" t="s">
        <v>190</v>
      </c>
      <c r="H11" s="79">
        <v>92</v>
      </c>
      <c r="J11" s="41" t="s">
        <v>139</v>
      </c>
      <c r="K11" s="79">
        <v>46</v>
      </c>
      <c r="M11" s="41" t="s">
        <v>429</v>
      </c>
      <c r="N11" s="79">
        <v>85</v>
      </c>
    </row>
    <row r="12" spans="1:14" x14ac:dyDescent="0.25">
      <c r="A12" s="41" t="s">
        <v>555</v>
      </c>
      <c r="B12" s="79">
        <v>60</v>
      </c>
      <c r="D12" s="41" t="s">
        <v>555</v>
      </c>
      <c r="E12" s="79">
        <v>60</v>
      </c>
      <c r="G12" s="40">
        <v>4</v>
      </c>
      <c r="H12" s="79"/>
      <c r="J12" s="41" t="s">
        <v>445</v>
      </c>
      <c r="K12" s="79">
        <v>60</v>
      </c>
      <c r="M12" s="41" t="s">
        <v>451</v>
      </c>
      <c r="N12" s="79">
        <v>90</v>
      </c>
    </row>
    <row r="13" spans="1:14" x14ac:dyDescent="0.25">
      <c r="A13" s="41" t="s">
        <v>522</v>
      </c>
      <c r="B13" s="79">
        <v>65</v>
      </c>
      <c r="D13" s="41" t="s">
        <v>522</v>
      </c>
      <c r="E13" s="79">
        <v>65</v>
      </c>
      <c r="G13" s="41" t="s">
        <v>430</v>
      </c>
      <c r="H13" s="79">
        <v>94</v>
      </c>
      <c r="J13" s="41" t="s">
        <v>228</v>
      </c>
      <c r="K13" s="79">
        <v>64</v>
      </c>
      <c r="M13" s="40">
        <v>4</v>
      </c>
      <c r="N13" s="79"/>
    </row>
    <row r="14" spans="1:14" x14ac:dyDescent="0.25">
      <c r="A14" s="40">
        <v>3</v>
      </c>
      <c r="B14" s="79"/>
      <c r="D14" s="40">
        <v>3</v>
      </c>
      <c r="E14" s="79"/>
      <c r="G14" s="41" t="s">
        <v>510</v>
      </c>
      <c r="H14" s="79">
        <v>95</v>
      </c>
      <c r="J14" s="41" t="s">
        <v>477</v>
      </c>
      <c r="K14" s="79">
        <v>65</v>
      </c>
      <c r="M14" s="41" t="s">
        <v>424</v>
      </c>
      <c r="N14" s="79">
        <v>110</v>
      </c>
    </row>
    <row r="15" spans="1:14" x14ac:dyDescent="0.25">
      <c r="A15" s="41" t="s">
        <v>94</v>
      </c>
      <c r="B15" s="79">
        <v>90</v>
      </c>
      <c r="D15" s="41" t="s">
        <v>94</v>
      </c>
      <c r="E15" s="79">
        <v>90</v>
      </c>
      <c r="G15" s="41" t="s">
        <v>412</v>
      </c>
      <c r="H15" s="79">
        <v>96</v>
      </c>
      <c r="J15" s="40">
        <v>3</v>
      </c>
      <c r="K15" s="79"/>
      <c r="M15" s="41" t="s">
        <v>433</v>
      </c>
      <c r="N15" s="79">
        <v>115</v>
      </c>
    </row>
    <row r="16" spans="1:14" x14ac:dyDescent="0.25">
      <c r="A16" s="41" t="s">
        <v>601</v>
      </c>
      <c r="B16" s="79">
        <v>92</v>
      </c>
      <c r="D16" s="41" t="s">
        <v>601</v>
      </c>
      <c r="E16" s="79">
        <v>92</v>
      </c>
      <c r="G16" s="41" t="s">
        <v>462</v>
      </c>
      <c r="H16" s="79">
        <v>97</v>
      </c>
      <c r="J16" s="41" t="s">
        <v>414</v>
      </c>
      <c r="K16" s="79">
        <v>96</v>
      </c>
      <c r="M16" s="40">
        <v>5</v>
      </c>
      <c r="N16" s="79"/>
    </row>
    <row r="17" spans="1:14" x14ac:dyDescent="0.25">
      <c r="A17" s="41" t="s">
        <v>540</v>
      </c>
      <c r="B17" s="79">
        <v>93</v>
      </c>
      <c r="D17" s="41" t="s">
        <v>540</v>
      </c>
      <c r="E17" s="79">
        <v>93</v>
      </c>
      <c r="G17" s="41" t="s">
        <v>600</v>
      </c>
      <c r="H17" s="79">
        <v>99</v>
      </c>
      <c r="J17" s="41" t="s">
        <v>402</v>
      </c>
      <c r="K17" s="79">
        <v>98</v>
      </c>
      <c r="M17" s="41" t="s">
        <v>503</v>
      </c>
      <c r="N17" s="79">
        <v>135</v>
      </c>
    </row>
    <row r="18" spans="1:14" x14ac:dyDescent="0.25">
      <c r="A18" s="41" t="s">
        <v>622</v>
      </c>
      <c r="B18" s="79">
        <v>95</v>
      </c>
      <c r="D18" s="41" t="s">
        <v>622</v>
      </c>
      <c r="E18" s="79">
        <v>95</v>
      </c>
      <c r="G18" s="40">
        <v>5</v>
      </c>
      <c r="H18" s="79"/>
      <c r="J18" s="41" t="s">
        <v>471</v>
      </c>
      <c r="K18" s="79">
        <v>100</v>
      </c>
      <c r="M18" s="41" t="s">
        <v>410</v>
      </c>
      <c r="N18" s="79">
        <v>145</v>
      </c>
    </row>
    <row r="19" spans="1:14" x14ac:dyDescent="0.25">
      <c r="A19" s="41" t="s">
        <v>527</v>
      </c>
      <c r="B19" s="79">
        <v>100</v>
      </c>
      <c r="D19" s="41" t="s">
        <v>527</v>
      </c>
      <c r="E19" s="79">
        <v>100</v>
      </c>
      <c r="G19" s="41" t="s">
        <v>165</v>
      </c>
      <c r="H19" s="79">
        <v>115</v>
      </c>
      <c r="J19" s="40">
        <v>4</v>
      </c>
      <c r="K19" s="79"/>
      <c r="M19" s="41" t="s">
        <v>452</v>
      </c>
      <c r="N19" s="79">
        <v>180</v>
      </c>
    </row>
    <row r="20" spans="1:14" x14ac:dyDescent="0.25">
      <c r="A20" s="40">
        <v>4</v>
      </c>
      <c r="B20" s="79"/>
      <c r="D20" s="40">
        <v>4</v>
      </c>
      <c r="E20" s="79"/>
      <c r="G20" s="41" t="s">
        <v>465</v>
      </c>
      <c r="H20" s="79">
        <v>120</v>
      </c>
      <c r="J20" s="41" t="s">
        <v>447</v>
      </c>
      <c r="K20" s="79">
        <v>120</v>
      </c>
      <c r="M20" s="41" t="s">
        <v>523</v>
      </c>
      <c r="N20" s="79">
        <v>185</v>
      </c>
    </row>
    <row r="21" spans="1:14" x14ac:dyDescent="0.25">
      <c r="A21" s="41" t="s">
        <v>621</v>
      </c>
      <c r="B21" s="79">
        <v>110</v>
      </c>
      <c r="D21" s="41" t="s">
        <v>621</v>
      </c>
      <c r="E21" s="79">
        <v>110</v>
      </c>
      <c r="G21" s="41" t="s">
        <v>490</v>
      </c>
      <c r="H21" s="79">
        <v>125</v>
      </c>
      <c r="J21" s="41" t="s">
        <v>539</v>
      </c>
      <c r="K21" s="79">
        <v>125</v>
      </c>
      <c r="M21" s="40">
        <v>6</v>
      </c>
      <c r="N21" s="79"/>
    </row>
    <row r="22" spans="1:14" x14ac:dyDescent="0.25">
      <c r="A22" s="41" t="s">
        <v>629</v>
      </c>
      <c r="B22" s="79">
        <v>111</v>
      </c>
      <c r="D22" s="41" t="s">
        <v>629</v>
      </c>
      <c r="E22" s="79">
        <v>111</v>
      </c>
      <c r="G22" s="41" t="s">
        <v>491</v>
      </c>
      <c r="H22" s="79">
        <v>150</v>
      </c>
      <c r="J22" s="41" t="s">
        <v>405</v>
      </c>
      <c r="K22" s="79">
        <v>130</v>
      </c>
      <c r="M22" s="41" t="s">
        <v>468</v>
      </c>
      <c r="N22" s="79">
        <v>175</v>
      </c>
    </row>
    <row r="23" spans="1:14" x14ac:dyDescent="0.25">
      <c r="A23" s="41" t="s">
        <v>559</v>
      </c>
      <c r="B23" s="79">
        <v>114</v>
      </c>
      <c r="D23" s="41" t="s">
        <v>559</v>
      </c>
      <c r="E23" s="79">
        <v>114</v>
      </c>
      <c r="G23" s="41" t="s">
        <v>474</v>
      </c>
      <c r="H23" s="79">
        <v>155</v>
      </c>
      <c r="J23" s="41" t="s">
        <v>431</v>
      </c>
      <c r="K23" s="79">
        <v>132</v>
      </c>
      <c r="M23" s="41" t="s">
        <v>504</v>
      </c>
      <c r="N23" s="79">
        <v>185</v>
      </c>
    </row>
    <row r="24" spans="1:14" x14ac:dyDescent="0.25">
      <c r="A24" s="41" t="s">
        <v>542</v>
      </c>
      <c r="B24" s="79">
        <v>115</v>
      </c>
      <c r="D24" s="41" t="s">
        <v>542</v>
      </c>
      <c r="E24" s="79">
        <v>115</v>
      </c>
      <c r="G24" s="41" t="s">
        <v>499</v>
      </c>
      <c r="H24" s="79">
        <v>155</v>
      </c>
      <c r="J24" s="41" t="s">
        <v>421</v>
      </c>
      <c r="K24" s="79">
        <v>135</v>
      </c>
      <c r="M24" s="41" t="s">
        <v>487</v>
      </c>
      <c r="N24" s="79">
        <v>190</v>
      </c>
    </row>
    <row r="25" spans="1:14" x14ac:dyDescent="0.25">
      <c r="A25" s="41" t="s">
        <v>561</v>
      </c>
      <c r="B25" s="79">
        <v>120</v>
      </c>
      <c r="D25" s="41" t="s">
        <v>561</v>
      </c>
      <c r="E25" s="79">
        <v>120</v>
      </c>
      <c r="G25" s="41" t="s">
        <v>536</v>
      </c>
      <c r="H25" s="79">
        <v>160</v>
      </c>
      <c r="J25" s="41" t="s">
        <v>493</v>
      </c>
      <c r="K25" s="79">
        <v>138</v>
      </c>
      <c r="M25" s="41" t="s">
        <v>406</v>
      </c>
      <c r="N25" s="79">
        <v>191</v>
      </c>
    </row>
    <row r="26" spans="1:14" x14ac:dyDescent="0.25">
      <c r="A26" s="41" t="s">
        <v>506</v>
      </c>
      <c r="B26" s="79">
        <v>122</v>
      </c>
      <c r="D26" s="41" t="s">
        <v>506</v>
      </c>
      <c r="E26" s="79">
        <v>122</v>
      </c>
      <c r="G26" s="40">
        <v>6</v>
      </c>
      <c r="H26" s="79"/>
      <c r="J26" s="40">
        <v>5</v>
      </c>
      <c r="K26" s="79"/>
      <c r="M26" s="41" t="s">
        <v>525</v>
      </c>
      <c r="N26" s="79">
        <v>191</v>
      </c>
    </row>
    <row r="27" spans="1:14" x14ac:dyDescent="0.25">
      <c r="A27" s="41" t="s">
        <v>560</v>
      </c>
      <c r="B27" s="79">
        <v>124</v>
      </c>
      <c r="D27" s="41" t="s">
        <v>560</v>
      </c>
      <c r="E27" s="79">
        <v>124</v>
      </c>
      <c r="G27" s="41" t="s">
        <v>472</v>
      </c>
      <c r="H27" s="79">
        <v>170</v>
      </c>
      <c r="J27" s="41" t="s">
        <v>453</v>
      </c>
      <c r="K27" s="79">
        <v>140</v>
      </c>
    </row>
    <row r="28" spans="1:14" x14ac:dyDescent="0.25">
      <c r="A28" s="41" t="s">
        <v>598</v>
      </c>
      <c r="B28" s="79">
        <v>126</v>
      </c>
      <c r="D28" s="41" t="s">
        <v>598</v>
      </c>
      <c r="E28" s="79">
        <v>126</v>
      </c>
      <c r="G28" s="41" t="s">
        <v>520</v>
      </c>
      <c r="H28" s="79">
        <v>180</v>
      </c>
      <c r="J28" s="41" t="s">
        <v>543</v>
      </c>
      <c r="K28" s="79">
        <v>145</v>
      </c>
    </row>
    <row r="29" spans="1:14" x14ac:dyDescent="0.25">
      <c r="A29" s="40">
        <v>5</v>
      </c>
      <c r="B29" s="79"/>
      <c r="D29" s="40">
        <v>5</v>
      </c>
      <c r="E29" s="79"/>
      <c r="G29" s="41" t="s">
        <v>486</v>
      </c>
      <c r="H29" s="79">
        <v>180</v>
      </c>
      <c r="J29" s="41" t="s">
        <v>437</v>
      </c>
      <c r="K29" s="79">
        <v>150</v>
      </c>
    </row>
    <row r="30" spans="1:14" x14ac:dyDescent="0.25">
      <c r="A30" s="41" t="s">
        <v>589</v>
      </c>
      <c r="B30" s="79">
        <v>155</v>
      </c>
      <c r="D30" s="41" t="s">
        <v>589</v>
      </c>
      <c r="E30" s="79">
        <v>155</v>
      </c>
      <c r="G30" s="41" t="s">
        <v>636</v>
      </c>
      <c r="H30" s="79">
        <v>185</v>
      </c>
      <c r="J30" s="40">
        <v>6</v>
      </c>
      <c r="K30" s="79"/>
    </row>
    <row r="31" spans="1:14" x14ac:dyDescent="0.25">
      <c r="A31" s="41" t="s">
        <v>483</v>
      </c>
      <c r="B31" s="79">
        <v>160</v>
      </c>
      <c r="D31" s="41" t="s">
        <v>483</v>
      </c>
      <c r="E31" s="79">
        <v>160</v>
      </c>
      <c r="G31" s="41" t="s">
        <v>425</v>
      </c>
      <c r="H31" s="79">
        <v>190</v>
      </c>
      <c r="J31" s="41" t="s">
        <v>492</v>
      </c>
      <c r="K31" s="79"/>
    </row>
    <row r="32" spans="1:14" x14ac:dyDescent="0.25">
      <c r="A32" s="41" t="s">
        <v>478</v>
      </c>
      <c r="B32" s="79">
        <v>165</v>
      </c>
      <c r="D32" s="41" t="s">
        <v>478</v>
      </c>
      <c r="E32" s="79">
        <v>165</v>
      </c>
      <c r="G32" s="41" t="s">
        <v>466</v>
      </c>
      <c r="H32" s="79">
        <v>190</v>
      </c>
      <c r="J32" s="41" t="s">
        <v>450</v>
      </c>
      <c r="K32" s="79"/>
    </row>
    <row r="33" spans="1:11" x14ac:dyDescent="0.25">
      <c r="A33" s="40">
        <v>6</v>
      </c>
      <c r="B33" s="79"/>
      <c r="D33" s="40">
        <v>6</v>
      </c>
      <c r="E33" s="79"/>
      <c r="J33" s="41" t="s">
        <v>485</v>
      </c>
      <c r="K33" s="79"/>
    </row>
    <row r="34" spans="1:11" x14ac:dyDescent="0.25">
      <c r="A34" s="41" t="s">
        <v>562</v>
      </c>
      <c r="B34" s="79"/>
      <c r="D34" s="41" t="s">
        <v>562</v>
      </c>
      <c r="E34" s="79"/>
      <c r="J34" s="41" t="s">
        <v>538</v>
      </c>
      <c r="K34" s="79"/>
    </row>
    <row r="35" spans="1:11" x14ac:dyDescent="0.25">
      <c r="A35" s="41" t="s">
        <v>596</v>
      </c>
      <c r="B35" s="79"/>
      <c r="D35" s="41" t="s">
        <v>596</v>
      </c>
      <c r="E35" s="79"/>
      <c r="J35" s="41" t="s">
        <v>448</v>
      </c>
      <c r="K35" s="79"/>
    </row>
    <row r="36" spans="1:11" x14ac:dyDescent="0.25">
      <c r="A36" s="41" t="s">
        <v>554</v>
      </c>
      <c r="B36" s="79"/>
      <c r="D36" s="41" t="s">
        <v>554</v>
      </c>
      <c r="E36" s="79"/>
      <c r="J36" s="41" t="s">
        <v>403</v>
      </c>
      <c r="K36" s="79"/>
    </row>
    <row r="37" spans="1:11" x14ac:dyDescent="0.25">
      <c r="A37" s="41" t="s">
        <v>597</v>
      </c>
      <c r="B37" s="79"/>
      <c r="D37" s="41" t="s">
        <v>597</v>
      </c>
      <c r="E37" s="79"/>
      <c r="J37" s="41" t="s">
        <v>401</v>
      </c>
      <c r="K37" s="79"/>
    </row>
    <row r="38" spans="1:11" x14ac:dyDescent="0.25">
      <c r="A38" s="41" t="s">
        <v>528</v>
      </c>
      <c r="B38" s="79">
        <v>170</v>
      </c>
      <c r="D38" s="41" t="s">
        <v>528</v>
      </c>
      <c r="E38" s="79">
        <v>170</v>
      </c>
    </row>
    <row r="39" spans="1:11" x14ac:dyDescent="0.25">
      <c r="A39" s="41" t="s">
        <v>494</v>
      </c>
      <c r="B39" s="79">
        <v>180</v>
      </c>
      <c r="D39" s="41" t="s">
        <v>494</v>
      </c>
      <c r="E39" s="79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314"/>
  <sheetViews>
    <sheetView tabSelected="1" zoomScale="115" zoomScaleNormal="115" workbookViewId="0">
      <pane ySplit="1" topLeftCell="A23" activePane="bottomLeft" state="frozen"/>
      <selection pane="bottomLeft" activeCell="D151" sqref="D151"/>
    </sheetView>
  </sheetViews>
  <sheetFormatPr defaultColWidth="14" defaultRowHeight="15" x14ac:dyDescent="0.25"/>
  <cols>
    <col min="1" max="1" width="13" style="1" bestFit="1" customWidth="1"/>
    <col min="2" max="2" width="8" style="1" customWidth="1"/>
    <col min="3" max="3" width="10" style="1" customWidth="1"/>
    <col min="4" max="4" width="24.5703125" style="1" bestFit="1" customWidth="1"/>
    <col min="5" max="5" width="22.140625" style="1" customWidth="1"/>
    <col min="6" max="6" width="11.5703125" style="1" customWidth="1"/>
    <col min="7" max="7" width="12" style="1" customWidth="1"/>
    <col min="8" max="8" width="10.28515625" style="1" customWidth="1"/>
    <col min="9" max="9" width="9.140625" style="1" customWidth="1"/>
    <col min="10" max="10" width="16.85546875" style="1" customWidth="1"/>
    <col min="11" max="11" width="16.5703125" style="1" customWidth="1"/>
    <col min="12" max="12" width="16" style="1" customWidth="1"/>
    <col min="13" max="13" width="16.42578125" style="6" customWidth="1"/>
    <col min="14" max="14" width="11.7109375" style="1" customWidth="1"/>
    <col min="15" max="15" width="12.140625" style="1" customWidth="1"/>
    <col min="16" max="16" width="17" style="1" customWidth="1"/>
    <col min="17" max="17" width="11.42578125" style="1" customWidth="1"/>
    <col min="18" max="18" width="11.85546875" style="1" bestFit="1" customWidth="1"/>
    <col min="19" max="19" width="117" style="1" bestFit="1" customWidth="1"/>
    <col min="20" max="20" width="10.5703125" style="1" customWidth="1"/>
    <col min="21" max="21" width="9" customWidth="1"/>
    <col min="22" max="22" width="12.28515625" style="1" bestFit="1" customWidth="1"/>
    <col min="23" max="23" width="9" style="1" bestFit="1" customWidth="1"/>
    <col min="24" max="24" width="10.140625" style="1" bestFit="1" customWidth="1"/>
    <col min="25" max="16384" width="14" style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649</v>
      </c>
      <c r="R1" s="2" t="s">
        <v>810</v>
      </c>
      <c r="S1" s="2" t="s">
        <v>650</v>
      </c>
      <c r="T1" s="2" t="s">
        <v>692</v>
      </c>
      <c r="U1" s="2" t="s">
        <v>693</v>
      </c>
      <c r="V1" s="2" t="s">
        <v>694</v>
      </c>
      <c r="W1" s="2" t="s">
        <v>695</v>
      </c>
      <c r="X1" s="2" t="s">
        <v>696</v>
      </c>
    </row>
    <row r="2" spans="1:24" hidden="1" x14ac:dyDescent="0.25">
      <c r="A2" s="8" t="s">
        <v>27</v>
      </c>
      <c r="B2" s="8">
        <v>1</v>
      </c>
      <c r="C2" s="8">
        <v>5</v>
      </c>
      <c r="D2" s="8" t="s">
        <v>28</v>
      </c>
      <c r="E2" s="8" t="s">
        <v>29</v>
      </c>
      <c r="F2" s="9" t="s">
        <v>30</v>
      </c>
      <c r="G2" s="43">
        <v>212</v>
      </c>
      <c r="H2" s="8" t="s">
        <v>31</v>
      </c>
      <c r="I2" s="8">
        <v>32</v>
      </c>
      <c r="J2" s="43">
        <v>4.3600000000000003</v>
      </c>
      <c r="K2" s="8">
        <v>1.55</v>
      </c>
      <c r="L2" s="8"/>
      <c r="M2" s="10"/>
      <c r="N2" s="8"/>
      <c r="O2" s="8"/>
      <c r="P2" s="8"/>
      <c r="R2" s="1" t="s">
        <v>811</v>
      </c>
      <c r="T2" s="38">
        <v>1372</v>
      </c>
      <c r="U2" s="1">
        <v>18</v>
      </c>
    </row>
    <row r="3" spans="1:24" hidden="1" x14ac:dyDescent="0.25">
      <c r="A3" s="26" t="s">
        <v>36</v>
      </c>
      <c r="B3" s="26">
        <v>1</v>
      </c>
      <c r="C3" s="26">
        <v>7</v>
      </c>
      <c r="D3" s="26" t="s">
        <v>50</v>
      </c>
      <c r="E3" s="26" t="s">
        <v>51</v>
      </c>
      <c r="F3" s="27" t="s">
        <v>47</v>
      </c>
      <c r="G3" s="43">
        <v>263</v>
      </c>
      <c r="H3" s="26" t="s">
        <v>52</v>
      </c>
      <c r="I3" s="26" t="s">
        <v>53</v>
      </c>
      <c r="J3" s="26"/>
      <c r="K3" s="26"/>
      <c r="L3" s="26"/>
      <c r="M3" s="28"/>
      <c r="N3" s="26"/>
      <c r="O3" s="26"/>
      <c r="P3" s="26"/>
      <c r="Q3" s="1" t="s">
        <v>648</v>
      </c>
      <c r="R3" s="1" t="s">
        <v>812</v>
      </c>
      <c r="S3" s="1" t="s">
        <v>731</v>
      </c>
    </row>
    <row r="4" spans="1:24" hidden="1" x14ac:dyDescent="0.25">
      <c r="A4" s="20" t="s">
        <v>54</v>
      </c>
      <c r="B4" s="20">
        <v>1</v>
      </c>
      <c r="C4" s="20">
        <v>10</v>
      </c>
      <c r="D4" s="20" t="s">
        <v>90</v>
      </c>
      <c r="E4" s="20" t="s">
        <v>91</v>
      </c>
      <c r="F4" s="42" t="s">
        <v>56</v>
      </c>
      <c r="G4" s="20">
        <v>311</v>
      </c>
      <c r="H4" s="20">
        <v>9</v>
      </c>
      <c r="I4" s="20" t="s">
        <v>92</v>
      </c>
      <c r="J4" s="43">
        <v>4.91</v>
      </c>
      <c r="K4" s="20">
        <v>1.72</v>
      </c>
      <c r="L4" s="43">
        <v>32</v>
      </c>
      <c r="M4" s="47" t="s">
        <v>93</v>
      </c>
      <c r="N4" s="20">
        <v>7.34</v>
      </c>
      <c r="O4" s="43">
        <v>4.67</v>
      </c>
      <c r="P4" s="55">
        <v>30</v>
      </c>
      <c r="R4" s="1" t="s">
        <v>811</v>
      </c>
      <c r="S4" s="1" t="s">
        <v>725</v>
      </c>
    </row>
    <row r="5" spans="1:24" hidden="1" x14ac:dyDescent="0.25">
      <c r="A5" s="35" t="s">
        <v>59</v>
      </c>
      <c r="B5" s="35">
        <v>1</v>
      </c>
      <c r="C5" s="35">
        <v>10</v>
      </c>
      <c r="D5" s="35" t="s">
        <v>60</v>
      </c>
      <c r="E5" s="35" t="s">
        <v>61</v>
      </c>
      <c r="F5" s="36" t="s">
        <v>62</v>
      </c>
      <c r="G5" s="45">
        <v>196</v>
      </c>
      <c r="H5" s="35" t="s">
        <v>132</v>
      </c>
      <c r="I5" s="43" t="s">
        <v>313</v>
      </c>
      <c r="J5" s="43">
        <v>4.45</v>
      </c>
      <c r="K5" s="35">
        <v>1.57</v>
      </c>
      <c r="L5" s="43">
        <v>39</v>
      </c>
      <c r="M5" s="37" t="s">
        <v>199</v>
      </c>
      <c r="N5" s="35"/>
      <c r="O5" s="35"/>
      <c r="P5" s="35"/>
      <c r="Q5" s="1" t="s">
        <v>648</v>
      </c>
      <c r="R5" s="1" t="s">
        <v>811</v>
      </c>
      <c r="S5" s="1" t="s">
        <v>753</v>
      </c>
    </row>
    <row r="6" spans="1:24" hidden="1" x14ac:dyDescent="0.25">
      <c r="A6" s="32" t="s">
        <v>22</v>
      </c>
      <c r="B6" s="32">
        <v>1</v>
      </c>
      <c r="C6" s="32">
        <v>10</v>
      </c>
      <c r="D6" s="32" t="s">
        <v>23</v>
      </c>
      <c r="E6" s="32" t="s">
        <v>24</v>
      </c>
      <c r="F6" s="33" t="s">
        <v>25</v>
      </c>
      <c r="G6" s="43">
        <v>206</v>
      </c>
      <c r="H6" s="32" t="s">
        <v>20</v>
      </c>
      <c r="I6" s="32" t="s">
        <v>26</v>
      </c>
      <c r="J6" s="32"/>
      <c r="K6" s="32"/>
      <c r="L6" s="32"/>
      <c r="M6" s="34"/>
      <c r="N6" s="32"/>
      <c r="O6" s="32"/>
      <c r="P6" s="32"/>
      <c r="R6" s="1" t="s">
        <v>812</v>
      </c>
      <c r="S6" s="1" t="s">
        <v>723</v>
      </c>
    </row>
    <row r="7" spans="1:24" hidden="1" x14ac:dyDescent="0.25">
      <c r="A7" s="26" t="s">
        <v>36</v>
      </c>
      <c r="B7" s="26">
        <v>1</v>
      </c>
      <c r="C7" s="26">
        <v>10</v>
      </c>
      <c r="D7" s="26" t="s">
        <v>105</v>
      </c>
      <c r="E7" s="26" t="s">
        <v>106</v>
      </c>
      <c r="F7" s="42" t="s">
        <v>107</v>
      </c>
      <c r="G7" s="45">
        <v>251</v>
      </c>
      <c r="H7" s="26" t="s">
        <v>108</v>
      </c>
      <c r="I7" s="43" t="s">
        <v>109</v>
      </c>
      <c r="J7" s="26">
        <v>4.5</v>
      </c>
      <c r="K7" s="26">
        <v>1.62</v>
      </c>
      <c r="L7" s="43">
        <v>35</v>
      </c>
      <c r="M7" s="28" t="s">
        <v>110</v>
      </c>
      <c r="N7" s="26"/>
      <c r="O7" s="26"/>
      <c r="P7" s="26"/>
      <c r="Q7" s="1" t="s">
        <v>648</v>
      </c>
      <c r="R7" s="1" t="s">
        <v>811</v>
      </c>
      <c r="S7" s="1" t="s">
        <v>746</v>
      </c>
    </row>
    <row r="8" spans="1:24" hidden="1" x14ac:dyDescent="0.25">
      <c r="A8" s="29" t="s">
        <v>69</v>
      </c>
      <c r="B8" s="29">
        <v>1</v>
      </c>
      <c r="C8" s="29">
        <v>15</v>
      </c>
      <c r="D8" s="29" t="s">
        <v>70</v>
      </c>
      <c r="E8" s="29" t="s">
        <v>24</v>
      </c>
      <c r="F8" s="30" t="s">
        <v>71</v>
      </c>
      <c r="G8" s="43">
        <v>244</v>
      </c>
      <c r="H8" s="29">
        <v>10</v>
      </c>
      <c r="I8" s="29" t="s">
        <v>72</v>
      </c>
      <c r="J8" s="43">
        <v>4.46</v>
      </c>
      <c r="K8" s="29">
        <v>1.56</v>
      </c>
      <c r="L8" s="43">
        <v>43.5</v>
      </c>
      <c r="M8" s="31" t="s">
        <v>73</v>
      </c>
      <c r="N8" s="29">
        <v>7.09</v>
      </c>
      <c r="O8" s="43">
        <v>4.26</v>
      </c>
      <c r="P8" s="29"/>
      <c r="Q8" s="1" t="s">
        <v>648</v>
      </c>
      <c r="R8" s="1" t="s">
        <v>811</v>
      </c>
      <c r="S8" s="1" t="s">
        <v>722</v>
      </c>
    </row>
    <row r="9" spans="1:24" hidden="1" x14ac:dyDescent="0.25">
      <c r="A9" s="20" t="s">
        <v>54</v>
      </c>
      <c r="B9" s="20">
        <v>1</v>
      </c>
      <c r="C9" s="20">
        <v>15</v>
      </c>
      <c r="D9" s="20" t="s">
        <v>55</v>
      </c>
      <c r="E9" s="20" t="s">
        <v>51</v>
      </c>
      <c r="F9" s="42" t="s">
        <v>56</v>
      </c>
      <c r="G9" s="20">
        <v>329</v>
      </c>
      <c r="H9" s="20" t="s">
        <v>57</v>
      </c>
      <c r="I9" s="45" t="s">
        <v>58</v>
      </c>
      <c r="J9" s="20"/>
      <c r="K9" s="20"/>
      <c r="L9" s="20"/>
      <c r="M9" s="22"/>
      <c r="N9" s="20"/>
      <c r="O9" s="20"/>
      <c r="P9" s="20"/>
      <c r="Q9" s="1" t="s">
        <v>648</v>
      </c>
      <c r="R9" s="1" t="s">
        <v>812</v>
      </c>
      <c r="S9" s="1" t="s">
        <v>718</v>
      </c>
    </row>
    <row r="10" spans="1:24" hidden="1" x14ac:dyDescent="0.25">
      <c r="A10" s="35" t="s">
        <v>59</v>
      </c>
      <c r="B10" s="35">
        <v>1</v>
      </c>
      <c r="C10" s="35">
        <v>15</v>
      </c>
      <c r="D10" s="35" t="s">
        <v>79</v>
      </c>
      <c r="E10" s="35" t="s">
        <v>80</v>
      </c>
      <c r="F10" s="42" t="s">
        <v>81</v>
      </c>
      <c r="G10" s="43">
        <v>198</v>
      </c>
      <c r="H10" s="35" t="s">
        <v>113</v>
      </c>
      <c r="I10" s="43" t="s">
        <v>286</v>
      </c>
      <c r="J10" s="45">
        <v>4.5</v>
      </c>
      <c r="K10" s="35">
        <v>1.56</v>
      </c>
      <c r="L10" s="35"/>
      <c r="M10" s="37"/>
      <c r="N10" s="35"/>
      <c r="O10" s="35"/>
      <c r="P10" s="35"/>
      <c r="Q10" s="1" t="s">
        <v>648</v>
      </c>
      <c r="R10" s="1" t="s">
        <v>811</v>
      </c>
      <c r="S10" s="1" t="s">
        <v>705</v>
      </c>
    </row>
    <row r="11" spans="1:24" hidden="1" x14ac:dyDescent="0.25">
      <c r="A11" s="26" t="s">
        <v>36</v>
      </c>
      <c r="B11" s="26">
        <v>1</v>
      </c>
      <c r="C11" s="26">
        <v>15</v>
      </c>
      <c r="D11" s="26" t="s">
        <v>37</v>
      </c>
      <c r="E11" s="26" t="s">
        <v>24</v>
      </c>
      <c r="F11" s="44" t="s">
        <v>38</v>
      </c>
      <c r="G11" s="26">
        <v>241</v>
      </c>
      <c r="H11" s="26" t="s">
        <v>39</v>
      </c>
      <c r="I11" s="45" t="s">
        <v>40</v>
      </c>
      <c r="J11" s="26">
        <v>4.46</v>
      </c>
      <c r="K11" s="26">
        <v>1.58</v>
      </c>
      <c r="L11" s="26"/>
      <c r="M11" s="28"/>
      <c r="N11" s="26"/>
      <c r="O11" s="26"/>
      <c r="P11" s="26"/>
      <c r="Q11" s="1" t="s">
        <v>648</v>
      </c>
      <c r="R11" s="1" t="s">
        <v>811</v>
      </c>
      <c r="S11" s="1" t="s">
        <v>717</v>
      </c>
    </row>
    <row r="12" spans="1:24" hidden="1" x14ac:dyDescent="0.25">
      <c r="A12" s="20" t="s">
        <v>54</v>
      </c>
      <c r="B12" s="20">
        <v>1</v>
      </c>
      <c r="C12" s="20">
        <v>20</v>
      </c>
      <c r="D12" s="20" t="s">
        <v>236</v>
      </c>
      <c r="E12" s="20" t="s">
        <v>115</v>
      </c>
      <c r="F12" s="44" t="s">
        <v>237</v>
      </c>
      <c r="G12" s="20">
        <v>315</v>
      </c>
      <c r="H12" s="20" t="s">
        <v>238</v>
      </c>
      <c r="I12" s="43" t="s">
        <v>239</v>
      </c>
      <c r="J12" s="43">
        <v>4.93</v>
      </c>
      <c r="K12" s="20">
        <v>1.71</v>
      </c>
      <c r="L12" s="43">
        <v>33.5</v>
      </c>
      <c r="M12" s="46" t="s">
        <v>240</v>
      </c>
      <c r="N12" s="20"/>
      <c r="O12" s="20"/>
      <c r="P12" s="20"/>
      <c r="Q12" s="1" t="s">
        <v>648</v>
      </c>
      <c r="R12" s="1" t="s">
        <v>811</v>
      </c>
      <c r="S12" s="1" t="s">
        <v>653</v>
      </c>
    </row>
    <row r="13" spans="1:24" hidden="1" x14ac:dyDescent="0.25">
      <c r="A13" s="20" t="s">
        <v>54</v>
      </c>
      <c r="B13" s="20">
        <v>1</v>
      </c>
      <c r="C13" s="20">
        <v>20</v>
      </c>
      <c r="D13" s="20" t="s">
        <v>133</v>
      </c>
      <c r="E13" s="20" t="s">
        <v>91</v>
      </c>
      <c r="F13" s="44" t="s">
        <v>134</v>
      </c>
      <c r="G13" s="20">
        <v>313</v>
      </c>
      <c r="H13" s="20" t="s">
        <v>39</v>
      </c>
      <c r="I13" s="45" t="s">
        <v>135</v>
      </c>
      <c r="J13" s="43">
        <v>4.99</v>
      </c>
      <c r="K13" s="20">
        <v>1.74</v>
      </c>
      <c r="L13" s="43">
        <v>32.5</v>
      </c>
      <c r="M13" s="46" t="s">
        <v>136</v>
      </c>
      <c r="N13" s="20"/>
      <c r="O13" s="20"/>
      <c r="P13" s="55">
        <v>25</v>
      </c>
      <c r="R13" s="1" t="s">
        <v>811</v>
      </c>
    </row>
    <row r="14" spans="1:24" hidden="1" x14ac:dyDescent="0.25">
      <c r="A14" s="32" t="s">
        <v>22</v>
      </c>
      <c r="B14" s="32">
        <v>1</v>
      </c>
      <c r="C14" s="32">
        <v>20</v>
      </c>
      <c r="D14" s="32" t="s">
        <v>143</v>
      </c>
      <c r="E14" s="32" t="s">
        <v>101</v>
      </c>
      <c r="F14" s="33" t="s">
        <v>144</v>
      </c>
      <c r="G14" s="43">
        <v>201</v>
      </c>
      <c r="H14" s="32">
        <v>9</v>
      </c>
      <c r="I14" s="32" t="s">
        <v>145</v>
      </c>
      <c r="J14" s="43">
        <v>4.3499999999999996</v>
      </c>
      <c r="K14" s="32">
        <v>1.52</v>
      </c>
      <c r="L14" s="43">
        <v>41</v>
      </c>
      <c r="M14" s="34" t="s">
        <v>146</v>
      </c>
      <c r="N14" s="32"/>
      <c r="O14" s="32"/>
      <c r="P14" s="32">
        <v>18</v>
      </c>
      <c r="R14" s="1" t="s">
        <v>811</v>
      </c>
      <c r="S14" s="1" t="s">
        <v>697</v>
      </c>
    </row>
    <row r="15" spans="1:24" hidden="1" x14ac:dyDescent="0.25">
      <c r="A15" s="26" t="s">
        <v>36</v>
      </c>
      <c r="B15" s="26">
        <v>1</v>
      </c>
      <c r="C15" s="26">
        <v>23</v>
      </c>
      <c r="D15" s="26" t="s">
        <v>508</v>
      </c>
      <c r="E15" s="26" t="s">
        <v>138</v>
      </c>
      <c r="F15" s="27" t="s">
        <v>67</v>
      </c>
      <c r="G15" s="45">
        <v>253</v>
      </c>
      <c r="H15" s="26" t="s">
        <v>148</v>
      </c>
      <c r="I15" s="26" t="s">
        <v>509</v>
      </c>
      <c r="J15" s="26">
        <v>4.59</v>
      </c>
      <c r="K15" s="26">
        <v>1.58</v>
      </c>
      <c r="L15" s="26">
        <v>32.5</v>
      </c>
      <c r="M15" s="28" t="s">
        <v>240</v>
      </c>
      <c r="N15" s="26"/>
      <c r="O15" s="26"/>
      <c r="P15" s="26"/>
      <c r="Q15" s="1" t="s">
        <v>648</v>
      </c>
      <c r="R15" s="1" t="s">
        <v>811</v>
      </c>
      <c r="S15" s="1" t="s">
        <v>724</v>
      </c>
    </row>
    <row r="16" spans="1:24" hidden="1" x14ac:dyDescent="0.25">
      <c r="A16" s="35" t="s">
        <v>59</v>
      </c>
      <c r="B16" s="35">
        <v>1</v>
      </c>
      <c r="C16" s="35">
        <v>24</v>
      </c>
      <c r="D16" s="35" t="s">
        <v>111</v>
      </c>
      <c r="E16" s="35" t="s">
        <v>66</v>
      </c>
      <c r="F16" s="36" t="s">
        <v>112</v>
      </c>
      <c r="G16" s="45">
        <v>194</v>
      </c>
      <c r="H16" s="35" t="s">
        <v>126</v>
      </c>
      <c r="I16" s="43" t="s">
        <v>544</v>
      </c>
      <c r="J16" s="43">
        <v>4.41</v>
      </c>
      <c r="K16" s="35">
        <v>1.59</v>
      </c>
      <c r="L16" s="43">
        <v>37</v>
      </c>
      <c r="M16" s="37" t="s">
        <v>98</v>
      </c>
      <c r="N16" s="35"/>
      <c r="O16" s="35"/>
      <c r="P16" s="35"/>
      <c r="Q16" s="1" t="s">
        <v>648</v>
      </c>
      <c r="R16" s="1" t="s">
        <v>811</v>
      </c>
      <c r="S16" s="1" t="s">
        <v>713</v>
      </c>
    </row>
    <row r="17" spans="1:21" hidden="1" x14ac:dyDescent="0.25">
      <c r="A17" s="11" t="s">
        <v>32</v>
      </c>
      <c r="B17" s="11">
        <v>1</v>
      </c>
      <c r="C17" s="11">
        <v>25</v>
      </c>
      <c r="D17" s="11" t="s">
        <v>74</v>
      </c>
      <c r="E17" s="11" t="s">
        <v>75</v>
      </c>
      <c r="F17" s="12" t="s">
        <v>76</v>
      </c>
      <c r="G17" s="45">
        <v>192</v>
      </c>
      <c r="H17" s="11" t="s">
        <v>77</v>
      </c>
      <c r="I17" s="11" t="s">
        <v>78</v>
      </c>
      <c r="J17" s="62">
        <v>4.5</v>
      </c>
      <c r="K17" s="11"/>
      <c r="L17" s="11"/>
      <c r="M17" s="13"/>
      <c r="N17" s="11"/>
      <c r="O17" s="11"/>
      <c r="P17" s="11"/>
      <c r="R17" s="1" t="s">
        <v>811</v>
      </c>
      <c r="S17" s="1" t="s">
        <v>770</v>
      </c>
      <c r="T17" s="38">
        <v>1156</v>
      </c>
      <c r="U17" s="1">
        <v>11</v>
      </c>
    </row>
    <row r="18" spans="1:21" hidden="1" x14ac:dyDescent="0.25">
      <c r="A18" s="11" t="s">
        <v>32</v>
      </c>
      <c r="B18" s="11">
        <v>1</v>
      </c>
      <c r="C18" s="11">
        <v>25</v>
      </c>
      <c r="D18" s="11" t="s">
        <v>33</v>
      </c>
      <c r="E18" s="11" t="s">
        <v>34</v>
      </c>
      <c r="F18" s="44" t="s">
        <v>35</v>
      </c>
      <c r="G18" s="43">
        <v>203</v>
      </c>
      <c r="H18" s="11" t="s">
        <v>31</v>
      </c>
      <c r="I18" s="11" t="s">
        <v>26</v>
      </c>
      <c r="J18" s="11"/>
      <c r="K18" s="11"/>
      <c r="L18" s="11"/>
      <c r="M18" s="13"/>
      <c r="N18" s="11"/>
      <c r="O18" s="11"/>
      <c r="P18" s="11"/>
      <c r="R18" s="1" t="s">
        <v>811</v>
      </c>
      <c r="S18" s="1" t="s">
        <v>750</v>
      </c>
      <c r="T18" s="38">
        <v>711</v>
      </c>
      <c r="U18" s="1">
        <v>8</v>
      </c>
    </row>
    <row r="19" spans="1:21" hidden="1" x14ac:dyDescent="0.25">
      <c r="A19" s="14" t="s">
        <v>99</v>
      </c>
      <c r="B19" s="14">
        <v>1</v>
      </c>
      <c r="C19" s="14">
        <v>25</v>
      </c>
      <c r="D19" s="14" t="s">
        <v>100</v>
      </c>
      <c r="E19" s="14" t="s">
        <v>101</v>
      </c>
      <c r="F19" s="15" t="s">
        <v>102</v>
      </c>
      <c r="G19" s="14">
        <v>241</v>
      </c>
      <c r="H19" s="43">
        <v>10</v>
      </c>
      <c r="I19" s="14" t="s">
        <v>103</v>
      </c>
      <c r="J19" s="14">
        <v>4.3899999999999997</v>
      </c>
      <c r="K19" s="14">
        <v>1.54</v>
      </c>
      <c r="L19" s="43">
        <v>43.5</v>
      </c>
      <c r="M19" s="16" t="s">
        <v>104</v>
      </c>
      <c r="N19" s="14"/>
      <c r="O19" s="14"/>
      <c r="P19" s="14"/>
      <c r="R19" s="1" t="s">
        <v>811</v>
      </c>
      <c r="S19" s="1" t="s">
        <v>726</v>
      </c>
      <c r="T19" s="38">
        <v>560</v>
      </c>
      <c r="U19" s="1">
        <v>8</v>
      </c>
    </row>
    <row r="20" spans="1:21" hidden="1" x14ac:dyDescent="0.25">
      <c r="A20" s="11" t="s">
        <v>32</v>
      </c>
      <c r="B20" s="11">
        <v>1</v>
      </c>
      <c r="C20" s="11">
        <v>29</v>
      </c>
      <c r="D20" s="11" t="s">
        <v>137</v>
      </c>
      <c r="E20" s="11" t="s">
        <v>138</v>
      </c>
      <c r="F20" s="12" t="s">
        <v>25</v>
      </c>
      <c r="G20" s="43">
        <v>196</v>
      </c>
      <c r="H20" s="45" t="s">
        <v>126</v>
      </c>
      <c r="I20" s="11" t="s">
        <v>26</v>
      </c>
      <c r="J20" s="11"/>
      <c r="K20" s="11"/>
      <c r="L20" s="11"/>
      <c r="M20" s="13"/>
      <c r="N20" s="11"/>
      <c r="O20" s="11"/>
      <c r="P20" s="11"/>
      <c r="Q20" s="1" t="s">
        <v>648</v>
      </c>
      <c r="R20" s="1" t="s">
        <v>811</v>
      </c>
      <c r="S20" s="1" t="s">
        <v>667</v>
      </c>
      <c r="T20" s="38">
        <v>919</v>
      </c>
      <c r="U20" s="1">
        <v>9</v>
      </c>
    </row>
    <row r="21" spans="1:21" hidden="1" x14ac:dyDescent="0.25">
      <c r="A21" s="17" t="s">
        <v>83</v>
      </c>
      <c r="B21" s="17">
        <v>1</v>
      </c>
      <c r="C21" s="17">
        <v>30</v>
      </c>
      <c r="D21" s="17" t="s">
        <v>84</v>
      </c>
      <c r="E21" s="17" t="s">
        <v>85</v>
      </c>
      <c r="F21" s="18" t="s">
        <v>86</v>
      </c>
      <c r="G21" s="17">
        <v>320</v>
      </c>
      <c r="H21" s="17" t="s">
        <v>87</v>
      </c>
      <c r="I21" s="45" t="s">
        <v>88</v>
      </c>
      <c r="J21" s="17"/>
      <c r="K21" s="17"/>
      <c r="L21" s="45">
        <v>31.5</v>
      </c>
      <c r="M21" s="19" t="s">
        <v>89</v>
      </c>
      <c r="N21" s="17"/>
      <c r="O21" s="17"/>
      <c r="P21" s="17"/>
      <c r="Q21" s="1" t="s">
        <v>648</v>
      </c>
      <c r="R21" s="1" t="s">
        <v>813</v>
      </c>
      <c r="S21" s="1" t="s">
        <v>829</v>
      </c>
    </row>
    <row r="22" spans="1:21" hidden="1" x14ac:dyDescent="0.25">
      <c r="A22" s="26" t="s">
        <v>36</v>
      </c>
      <c r="B22" s="26">
        <v>1</v>
      </c>
      <c r="C22" s="26">
        <v>31</v>
      </c>
      <c r="D22" s="26" t="s">
        <v>605</v>
      </c>
      <c r="E22" s="26" t="s">
        <v>162</v>
      </c>
      <c r="F22" s="44" t="s">
        <v>363</v>
      </c>
      <c r="G22" s="43">
        <v>276</v>
      </c>
      <c r="H22" s="26" t="s">
        <v>171</v>
      </c>
      <c r="I22" s="43" t="s">
        <v>606</v>
      </c>
      <c r="J22" s="59">
        <v>4.67</v>
      </c>
      <c r="K22" s="26"/>
      <c r="L22" s="43">
        <v>35</v>
      </c>
      <c r="M22" s="28" t="s">
        <v>224</v>
      </c>
      <c r="N22" s="26"/>
      <c r="O22" s="26"/>
      <c r="P22" s="26">
        <v>17</v>
      </c>
      <c r="Q22" s="1" t="s">
        <v>648</v>
      </c>
      <c r="R22" s="1" t="s">
        <v>812</v>
      </c>
      <c r="S22" s="1" t="s">
        <v>863</v>
      </c>
    </row>
    <row r="23" spans="1:21" x14ac:dyDescent="0.25">
      <c r="A23" s="23" t="s">
        <v>834</v>
      </c>
      <c r="B23" s="23">
        <v>2</v>
      </c>
      <c r="C23" s="23">
        <v>36</v>
      </c>
      <c r="D23" s="23" t="s">
        <v>121</v>
      </c>
      <c r="E23" s="23" t="s">
        <v>24</v>
      </c>
      <c r="F23" s="24" t="s">
        <v>35</v>
      </c>
      <c r="G23" s="43">
        <v>326</v>
      </c>
      <c r="H23" s="23" t="s">
        <v>122</v>
      </c>
      <c r="I23" s="45" t="s">
        <v>123</v>
      </c>
      <c r="J23" s="23"/>
      <c r="K23" s="23"/>
      <c r="L23" s="23"/>
      <c r="M23" s="25"/>
      <c r="N23" s="23"/>
      <c r="O23" s="23"/>
      <c r="P23" s="23"/>
      <c r="Q23" s="1" t="s">
        <v>648</v>
      </c>
      <c r="R23" s="1" t="s">
        <v>813</v>
      </c>
      <c r="S23" s="1" t="s">
        <v>735</v>
      </c>
    </row>
    <row r="24" spans="1:21" hidden="1" x14ac:dyDescent="0.25">
      <c r="A24" s="35" t="s">
        <v>59</v>
      </c>
      <c r="B24" s="35">
        <v>2</v>
      </c>
      <c r="C24" s="35">
        <v>36</v>
      </c>
      <c r="D24" s="35" t="s">
        <v>218</v>
      </c>
      <c r="E24" s="35" t="s">
        <v>80</v>
      </c>
      <c r="F24" s="36" t="s">
        <v>25</v>
      </c>
      <c r="G24" s="35">
        <v>187</v>
      </c>
      <c r="H24" s="35" t="s">
        <v>398</v>
      </c>
      <c r="I24" s="43" t="s">
        <v>127</v>
      </c>
      <c r="J24" s="45">
        <v>4.5</v>
      </c>
      <c r="K24" s="35">
        <v>1.64</v>
      </c>
      <c r="L24" s="43">
        <v>39</v>
      </c>
      <c r="M24" s="37" t="s">
        <v>98</v>
      </c>
      <c r="N24" s="35"/>
      <c r="O24" s="35"/>
      <c r="P24" s="35"/>
      <c r="Q24" s="1" t="s">
        <v>648</v>
      </c>
      <c r="R24" s="1" t="s">
        <v>812</v>
      </c>
      <c r="S24" s="1" t="s">
        <v>655</v>
      </c>
    </row>
    <row r="25" spans="1:21" hidden="1" x14ac:dyDescent="0.25">
      <c r="A25" s="11" t="s">
        <v>32</v>
      </c>
      <c r="B25" s="11">
        <v>2</v>
      </c>
      <c r="C25" s="11">
        <v>38</v>
      </c>
      <c r="D25" s="11" t="s">
        <v>46</v>
      </c>
      <c r="E25" s="11" t="s">
        <v>24</v>
      </c>
      <c r="F25" s="44" t="s">
        <v>47</v>
      </c>
      <c r="G25" s="45">
        <v>192</v>
      </c>
      <c r="H25" s="43" t="s">
        <v>48</v>
      </c>
      <c r="I25" s="11" t="s">
        <v>49</v>
      </c>
      <c r="J25" s="11">
        <v>4.53</v>
      </c>
      <c r="K25" s="11">
        <v>1.61</v>
      </c>
      <c r="L25" s="11"/>
      <c r="M25" s="13"/>
      <c r="N25" s="11"/>
      <c r="O25" s="11"/>
      <c r="P25" s="11"/>
      <c r="R25" s="1" t="s">
        <v>812</v>
      </c>
      <c r="S25" s="1" t="s">
        <v>740</v>
      </c>
      <c r="T25" s="38">
        <v>875</v>
      </c>
      <c r="U25" s="1">
        <v>9</v>
      </c>
    </row>
    <row r="26" spans="1:21" hidden="1" x14ac:dyDescent="0.25">
      <c r="A26" s="11" t="s">
        <v>32</v>
      </c>
      <c r="B26" s="11">
        <v>2</v>
      </c>
      <c r="C26" s="11">
        <v>40</v>
      </c>
      <c r="D26" s="11" t="s">
        <v>153</v>
      </c>
      <c r="E26" s="11" t="s">
        <v>18</v>
      </c>
      <c r="F26" s="42" t="s">
        <v>144</v>
      </c>
      <c r="G26" s="43">
        <v>196</v>
      </c>
      <c r="H26" s="43" t="s">
        <v>132</v>
      </c>
      <c r="I26" s="11" t="s">
        <v>26</v>
      </c>
      <c r="J26" s="43">
        <v>4.42</v>
      </c>
      <c r="K26" s="11">
        <v>1.55</v>
      </c>
      <c r="L26" s="45">
        <v>37</v>
      </c>
      <c r="M26" s="13"/>
      <c r="N26" s="11"/>
      <c r="O26" s="11"/>
      <c r="P26" s="11"/>
      <c r="R26" s="1" t="s">
        <v>812</v>
      </c>
      <c r="S26" s="1" t="s">
        <v>680</v>
      </c>
      <c r="T26" s="38">
        <v>937</v>
      </c>
      <c r="U26" s="1">
        <v>13</v>
      </c>
    </row>
    <row r="27" spans="1:21" hidden="1" x14ac:dyDescent="0.25">
      <c r="A27" s="20" t="s">
        <v>54</v>
      </c>
      <c r="B27" s="20">
        <v>2</v>
      </c>
      <c r="C27" s="20">
        <v>40</v>
      </c>
      <c r="D27" s="20" t="s">
        <v>179</v>
      </c>
      <c r="E27" s="20" t="s">
        <v>42</v>
      </c>
      <c r="F27" s="44" t="s">
        <v>180</v>
      </c>
      <c r="G27" s="20">
        <v>352</v>
      </c>
      <c r="H27" s="20" t="s">
        <v>171</v>
      </c>
      <c r="I27" s="45" t="s">
        <v>135</v>
      </c>
      <c r="J27" s="20">
        <v>5.21</v>
      </c>
      <c r="K27" s="20">
        <v>1.84</v>
      </c>
      <c r="L27" s="43">
        <v>32.5</v>
      </c>
      <c r="M27" s="47" t="s">
        <v>181</v>
      </c>
      <c r="N27" s="55">
        <v>7.78</v>
      </c>
      <c r="O27" s="72">
        <v>4.78</v>
      </c>
      <c r="P27" s="20"/>
      <c r="Q27" s="1" t="s">
        <v>661</v>
      </c>
      <c r="R27" s="1" t="s">
        <v>812</v>
      </c>
      <c r="S27" s="1" t="s">
        <v>678</v>
      </c>
    </row>
    <row r="28" spans="1:21" hidden="1" x14ac:dyDescent="0.25">
      <c r="A28" s="35" t="s">
        <v>59</v>
      </c>
      <c r="B28" s="35">
        <v>2</v>
      </c>
      <c r="C28" s="35">
        <v>45</v>
      </c>
      <c r="D28" s="35" t="s">
        <v>427</v>
      </c>
      <c r="E28" s="35" t="s">
        <v>428</v>
      </c>
      <c r="F28" s="42" t="s">
        <v>30</v>
      </c>
      <c r="G28" s="43">
        <v>203</v>
      </c>
      <c r="H28" s="35" t="s">
        <v>423</v>
      </c>
      <c r="I28" s="43" t="s">
        <v>195</v>
      </c>
      <c r="J28" s="45">
        <v>4.49</v>
      </c>
      <c r="K28" s="35">
        <v>1.59</v>
      </c>
      <c r="L28" s="43">
        <v>40</v>
      </c>
      <c r="M28" s="37" t="s">
        <v>73</v>
      </c>
      <c r="N28" s="35">
        <v>7.13</v>
      </c>
      <c r="O28" s="58">
        <v>4.12</v>
      </c>
      <c r="P28" s="35">
        <v>16</v>
      </c>
      <c r="Q28" s="1" t="s">
        <v>648</v>
      </c>
      <c r="R28" s="1" t="s">
        <v>811</v>
      </c>
    </row>
    <row r="29" spans="1:21" hidden="1" x14ac:dyDescent="0.25">
      <c r="A29" s="11" t="s">
        <v>32</v>
      </c>
      <c r="B29" s="11">
        <v>2</v>
      </c>
      <c r="C29" s="11">
        <v>45</v>
      </c>
      <c r="D29" s="11" t="s">
        <v>129</v>
      </c>
      <c r="E29" s="11" t="s">
        <v>130</v>
      </c>
      <c r="F29" s="44" t="s">
        <v>131</v>
      </c>
      <c r="G29" s="43">
        <v>212</v>
      </c>
      <c r="H29" s="43" t="s">
        <v>132</v>
      </c>
      <c r="I29" s="11">
        <v>32</v>
      </c>
      <c r="J29" s="11"/>
      <c r="K29" s="11"/>
      <c r="L29" s="62">
        <v>37.5</v>
      </c>
      <c r="M29" s="71"/>
      <c r="N29" s="72">
        <v>6.8</v>
      </c>
      <c r="O29" s="45">
        <v>4.28</v>
      </c>
      <c r="P29" s="11"/>
      <c r="R29" s="1" t="s">
        <v>812</v>
      </c>
      <c r="S29" s="1" t="s">
        <v>804</v>
      </c>
      <c r="T29" s="38">
        <v>881</v>
      </c>
      <c r="U29" s="1">
        <v>11</v>
      </c>
    </row>
    <row r="30" spans="1:21" hidden="1" x14ac:dyDescent="0.25">
      <c r="A30" s="26" t="s">
        <v>36</v>
      </c>
      <c r="B30" s="26">
        <v>2</v>
      </c>
      <c r="C30" s="26">
        <v>45</v>
      </c>
      <c r="D30" s="26" t="s">
        <v>526</v>
      </c>
      <c r="E30" s="26" t="s">
        <v>51</v>
      </c>
      <c r="F30" s="42" t="s">
        <v>327</v>
      </c>
      <c r="G30" s="43">
        <v>259</v>
      </c>
      <c r="H30" s="26">
        <v>10</v>
      </c>
      <c r="I30" s="45" t="s">
        <v>92</v>
      </c>
      <c r="J30" s="26"/>
      <c r="K30" s="26"/>
      <c r="L30" s="26"/>
      <c r="M30" s="28"/>
      <c r="N30" s="26"/>
      <c r="O30" s="26"/>
      <c r="P30" s="26"/>
      <c r="Q30" s="1" t="s">
        <v>661</v>
      </c>
      <c r="R30" s="1" t="s">
        <v>813</v>
      </c>
      <c r="S30" s="1" t="s">
        <v>729</v>
      </c>
    </row>
    <row r="31" spans="1:21" hidden="1" x14ac:dyDescent="0.25">
      <c r="A31" s="3" t="s">
        <v>16</v>
      </c>
      <c r="B31" s="3">
        <v>2</v>
      </c>
      <c r="C31" s="3">
        <v>45</v>
      </c>
      <c r="D31" s="3" t="s">
        <v>17</v>
      </c>
      <c r="E31" s="3" t="s">
        <v>18</v>
      </c>
      <c r="F31" s="44" t="s">
        <v>19</v>
      </c>
      <c r="G31" s="3">
        <v>236</v>
      </c>
      <c r="H31" s="43" t="s">
        <v>20</v>
      </c>
      <c r="I31" s="3" t="s">
        <v>21</v>
      </c>
      <c r="J31" s="3"/>
      <c r="K31" s="3"/>
      <c r="L31" s="3"/>
      <c r="M31" s="7"/>
      <c r="N31" s="3"/>
      <c r="O31" s="3"/>
      <c r="P31" s="3"/>
      <c r="Q31" s="1" t="s">
        <v>661</v>
      </c>
      <c r="S31" s="1" t="s">
        <v>679</v>
      </c>
      <c r="T31" s="38">
        <v>3535</v>
      </c>
      <c r="U31" s="1">
        <v>41</v>
      </c>
    </row>
    <row r="32" spans="1:21" hidden="1" x14ac:dyDescent="0.25">
      <c r="A32" s="17" t="s">
        <v>83</v>
      </c>
      <c r="B32" s="17">
        <v>2</v>
      </c>
      <c r="C32" s="17">
        <v>45</v>
      </c>
      <c r="D32" s="17" t="s">
        <v>575</v>
      </c>
      <c r="E32" s="17" t="s">
        <v>397</v>
      </c>
      <c r="F32" s="18" t="s">
        <v>71</v>
      </c>
      <c r="G32" s="17">
        <v>319</v>
      </c>
      <c r="H32" s="17">
        <v>10</v>
      </c>
      <c r="I32" s="43" t="s">
        <v>576</v>
      </c>
      <c r="J32" s="45">
        <v>5.18</v>
      </c>
      <c r="K32" s="17">
        <v>1.83</v>
      </c>
      <c r="L32" s="43">
        <v>32.5</v>
      </c>
      <c r="M32" s="47" t="s">
        <v>181</v>
      </c>
      <c r="N32" s="54">
        <v>7.58</v>
      </c>
      <c r="O32" s="17">
        <v>4.63</v>
      </c>
      <c r="P32" s="54">
        <v>29</v>
      </c>
      <c r="Q32" s="1" t="s">
        <v>648</v>
      </c>
      <c r="R32" s="1" t="s">
        <v>812</v>
      </c>
      <c r="S32" s="1" t="s">
        <v>832</v>
      </c>
    </row>
    <row r="33" spans="1:21" hidden="1" x14ac:dyDescent="0.25">
      <c r="A33" s="35" t="s">
        <v>59</v>
      </c>
      <c r="B33" s="35">
        <v>2</v>
      </c>
      <c r="C33" s="35">
        <v>46</v>
      </c>
      <c r="D33" s="35" t="s">
        <v>139</v>
      </c>
      <c r="E33" s="35" t="s">
        <v>140</v>
      </c>
      <c r="F33" s="36" t="s">
        <v>62</v>
      </c>
      <c r="G33" s="35">
        <v>189</v>
      </c>
      <c r="H33" s="35" t="s">
        <v>31</v>
      </c>
      <c r="I33" s="43" t="s">
        <v>386</v>
      </c>
      <c r="J33" s="43">
        <v>4.45</v>
      </c>
      <c r="K33" s="35">
        <v>1.58</v>
      </c>
      <c r="L33" s="45">
        <v>34</v>
      </c>
      <c r="M33" s="37" t="s">
        <v>192</v>
      </c>
      <c r="N33" s="35"/>
      <c r="O33" s="72">
        <v>4.33</v>
      </c>
      <c r="P33" s="48">
        <v>15</v>
      </c>
      <c r="Q33" s="1" t="s">
        <v>648</v>
      </c>
      <c r="R33" s="1" t="s">
        <v>812</v>
      </c>
      <c r="S33" s="1" t="s">
        <v>778</v>
      </c>
    </row>
    <row r="34" spans="1:21" hidden="1" x14ac:dyDescent="0.25">
      <c r="A34" s="8" t="s">
        <v>27</v>
      </c>
      <c r="B34" s="8">
        <v>2</v>
      </c>
      <c r="C34" s="8">
        <v>50</v>
      </c>
      <c r="D34" s="8" t="s">
        <v>197</v>
      </c>
      <c r="E34" s="8" t="s">
        <v>29</v>
      </c>
      <c r="F34" s="9" t="s">
        <v>198</v>
      </c>
      <c r="G34" s="8">
        <v>203</v>
      </c>
      <c r="H34" s="8" t="s">
        <v>132</v>
      </c>
      <c r="I34" s="8" t="s">
        <v>45</v>
      </c>
      <c r="J34" s="43">
        <v>4.49</v>
      </c>
      <c r="K34" s="8">
        <v>1.61</v>
      </c>
      <c r="L34" s="45">
        <v>35</v>
      </c>
      <c r="M34" s="10" t="s">
        <v>199</v>
      </c>
      <c r="N34" s="8"/>
      <c r="O34" s="8"/>
      <c r="P34" s="8">
        <v>21</v>
      </c>
      <c r="Q34" s="1" t="s">
        <v>648</v>
      </c>
      <c r="R34" s="1" t="s">
        <v>811</v>
      </c>
      <c r="S34" s="1" t="s">
        <v>715</v>
      </c>
      <c r="T34" s="38">
        <v>674</v>
      </c>
      <c r="U34" s="1">
        <v>11</v>
      </c>
    </row>
    <row r="35" spans="1:21" hidden="1" x14ac:dyDescent="0.25">
      <c r="A35" s="3" t="s">
        <v>16</v>
      </c>
      <c r="B35" s="3">
        <v>2</v>
      </c>
      <c r="C35" s="3">
        <v>50</v>
      </c>
      <c r="D35" s="3" t="s">
        <v>41</v>
      </c>
      <c r="E35" s="3" t="s">
        <v>42</v>
      </c>
      <c r="F35" s="4" t="s">
        <v>43</v>
      </c>
      <c r="G35" s="3">
        <v>211</v>
      </c>
      <c r="H35" s="45" t="s">
        <v>44</v>
      </c>
      <c r="I35" s="3" t="s">
        <v>45</v>
      </c>
      <c r="J35" s="3"/>
      <c r="K35" s="3"/>
      <c r="L35" s="3"/>
      <c r="M35" s="7"/>
      <c r="N35" s="3"/>
      <c r="O35" s="3"/>
      <c r="P35" s="3"/>
      <c r="Q35" s="1" t="s">
        <v>661</v>
      </c>
      <c r="S35" s="1" t="s">
        <v>684</v>
      </c>
      <c r="T35" s="38">
        <v>3567</v>
      </c>
      <c r="U35" s="1">
        <v>28</v>
      </c>
    </row>
    <row r="36" spans="1:21" x14ac:dyDescent="0.25">
      <c r="A36" s="23" t="s">
        <v>834</v>
      </c>
      <c r="B36" s="23">
        <v>2</v>
      </c>
      <c r="C36" s="23">
        <v>50</v>
      </c>
      <c r="D36" s="23" t="s">
        <v>65</v>
      </c>
      <c r="E36" s="23" t="s">
        <v>66</v>
      </c>
      <c r="F36" s="42" t="s">
        <v>67</v>
      </c>
      <c r="G36" s="45">
        <v>298</v>
      </c>
      <c r="H36" s="23" t="s">
        <v>52</v>
      </c>
      <c r="I36" s="23" t="s">
        <v>68</v>
      </c>
      <c r="J36" s="23"/>
      <c r="K36" s="23"/>
      <c r="L36" s="23">
        <v>29</v>
      </c>
      <c r="M36" s="25">
        <v>46242</v>
      </c>
      <c r="N36" s="23">
        <v>7.7</v>
      </c>
      <c r="O36" s="43">
        <v>4.54</v>
      </c>
      <c r="P36" s="23"/>
      <c r="Q36" s="1" t="s">
        <v>661</v>
      </c>
      <c r="R36" s="1" t="s">
        <v>811</v>
      </c>
      <c r="S36" s="1" t="s">
        <v>716</v>
      </c>
    </row>
    <row r="37" spans="1:21" hidden="1" x14ac:dyDescent="0.25">
      <c r="A37" s="20" t="s">
        <v>54</v>
      </c>
      <c r="B37" s="20">
        <v>2</v>
      </c>
      <c r="C37" s="20">
        <v>55</v>
      </c>
      <c r="D37" s="20" t="s">
        <v>233</v>
      </c>
      <c r="E37" s="20" t="s">
        <v>66</v>
      </c>
      <c r="F37" s="44" t="s">
        <v>234</v>
      </c>
      <c r="G37" s="20">
        <v>317</v>
      </c>
      <c r="H37" s="20" t="s">
        <v>171</v>
      </c>
      <c r="I37" s="43" t="s">
        <v>235</v>
      </c>
      <c r="J37" s="43">
        <v>5.04</v>
      </c>
      <c r="K37" s="20">
        <v>1.75</v>
      </c>
      <c r="L37" s="43">
        <v>32</v>
      </c>
      <c r="M37" s="46" t="s">
        <v>136</v>
      </c>
      <c r="N37" s="20">
        <v>7.75</v>
      </c>
      <c r="O37" s="43">
        <v>4.6500000000000004</v>
      </c>
      <c r="P37" s="20"/>
      <c r="Q37" s="1" t="s">
        <v>661</v>
      </c>
      <c r="R37" s="1" t="s">
        <v>811</v>
      </c>
      <c r="S37" s="1" t="s">
        <v>712</v>
      </c>
    </row>
    <row r="38" spans="1:21" x14ac:dyDescent="0.25">
      <c r="A38" s="23" t="s">
        <v>834</v>
      </c>
      <c r="B38" s="23">
        <v>2</v>
      </c>
      <c r="C38" s="23">
        <v>55</v>
      </c>
      <c r="D38" s="23" t="s">
        <v>219</v>
      </c>
      <c r="E38" s="23" t="s">
        <v>115</v>
      </c>
      <c r="F38" s="44" t="s">
        <v>194</v>
      </c>
      <c r="G38" s="43">
        <v>321</v>
      </c>
      <c r="H38" s="23">
        <v>10</v>
      </c>
      <c r="I38" s="23">
        <v>33</v>
      </c>
      <c r="J38" s="23"/>
      <c r="K38" s="23"/>
      <c r="L38" s="23"/>
      <c r="M38" s="25"/>
      <c r="N38" s="23"/>
      <c r="O38" s="23"/>
      <c r="P38" s="23"/>
      <c r="Q38" s="1" t="s">
        <v>648</v>
      </c>
      <c r="R38" s="1" t="s">
        <v>811</v>
      </c>
      <c r="S38" s="1" t="s">
        <v>859</v>
      </c>
    </row>
    <row r="39" spans="1:21" hidden="1" x14ac:dyDescent="0.25">
      <c r="A39" s="17" t="s">
        <v>83</v>
      </c>
      <c r="B39" s="17">
        <v>2</v>
      </c>
      <c r="C39" s="17">
        <v>55</v>
      </c>
      <c r="D39" s="17" t="s">
        <v>568</v>
      </c>
      <c r="E39" s="17" t="s">
        <v>101</v>
      </c>
      <c r="F39" s="18" t="s">
        <v>86</v>
      </c>
      <c r="G39" s="17">
        <v>314</v>
      </c>
      <c r="H39" s="17">
        <v>11</v>
      </c>
      <c r="I39" s="43" t="s">
        <v>109</v>
      </c>
      <c r="J39" s="45">
        <v>5.21</v>
      </c>
      <c r="K39" s="17">
        <v>1.82</v>
      </c>
      <c r="L39" s="43">
        <v>35</v>
      </c>
      <c r="M39" s="46" t="s">
        <v>93</v>
      </c>
      <c r="N39" s="54">
        <v>7.72</v>
      </c>
      <c r="O39" s="54">
        <v>4.8099999999999996</v>
      </c>
      <c r="P39" s="54">
        <v>30</v>
      </c>
      <c r="Q39" s="1" t="s">
        <v>648</v>
      </c>
      <c r="R39" s="1" t="s">
        <v>812</v>
      </c>
      <c r="S39" s="1" t="s">
        <v>830</v>
      </c>
    </row>
    <row r="40" spans="1:21" hidden="1" x14ac:dyDescent="0.25">
      <c r="A40" s="26" t="s">
        <v>36</v>
      </c>
      <c r="B40" s="26">
        <v>2</v>
      </c>
      <c r="C40" s="26">
        <v>60</v>
      </c>
      <c r="D40" s="26" t="s">
        <v>555</v>
      </c>
      <c r="E40" s="26" t="s">
        <v>556</v>
      </c>
      <c r="F40" s="44" t="s">
        <v>151</v>
      </c>
      <c r="G40" s="45">
        <v>253</v>
      </c>
      <c r="H40" s="26" t="s">
        <v>148</v>
      </c>
      <c r="I40" s="43" t="s">
        <v>109</v>
      </c>
      <c r="J40" s="26">
        <v>4.5199999999999996</v>
      </c>
      <c r="K40" s="26">
        <v>1.59</v>
      </c>
      <c r="L40" s="43">
        <v>40</v>
      </c>
      <c r="M40" s="28" t="s">
        <v>325</v>
      </c>
      <c r="N40" s="26"/>
      <c r="O40" s="26"/>
      <c r="P40" s="26"/>
      <c r="R40" s="1" t="s">
        <v>811</v>
      </c>
      <c r="S40" s="1" t="s">
        <v>862</v>
      </c>
    </row>
    <row r="41" spans="1:21" hidden="1" x14ac:dyDescent="0.25">
      <c r="A41" s="35" t="s">
        <v>59</v>
      </c>
      <c r="B41" s="35">
        <v>2</v>
      </c>
      <c r="C41" s="35">
        <v>85</v>
      </c>
      <c r="D41" s="35" t="s">
        <v>445</v>
      </c>
      <c r="E41" s="35" t="s">
        <v>446</v>
      </c>
      <c r="F41" s="44" t="s">
        <v>191</v>
      </c>
      <c r="G41" s="35">
        <v>189</v>
      </c>
      <c r="H41" s="35">
        <v>9</v>
      </c>
      <c r="I41" s="43" t="s">
        <v>195</v>
      </c>
      <c r="J41" s="35">
        <v>4.5199999999999996</v>
      </c>
      <c r="K41" s="35">
        <v>1.56</v>
      </c>
      <c r="L41" s="43">
        <v>42</v>
      </c>
      <c r="M41" s="37" t="s">
        <v>104</v>
      </c>
      <c r="N41" s="48">
        <v>7.31</v>
      </c>
      <c r="O41" s="72">
        <v>4.51</v>
      </c>
      <c r="P41" s="35"/>
      <c r="Q41" s="1" t="s">
        <v>648</v>
      </c>
      <c r="R41" s="1" t="s">
        <v>812</v>
      </c>
      <c r="S41" s="1" t="s">
        <v>755</v>
      </c>
    </row>
    <row r="42" spans="1:21" hidden="1" x14ac:dyDescent="0.25">
      <c r="A42" s="32" t="s">
        <v>22</v>
      </c>
      <c r="B42" s="32">
        <v>2</v>
      </c>
      <c r="C42" s="32">
        <v>60</v>
      </c>
      <c r="D42" s="32" t="s">
        <v>124</v>
      </c>
      <c r="E42" s="32" t="s">
        <v>125</v>
      </c>
      <c r="F42" s="33" t="s">
        <v>107</v>
      </c>
      <c r="G42" s="43">
        <v>201</v>
      </c>
      <c r="H42" s="32" t="s">
        <v>126</v>
      </c>
      <c r="I42" s="32" t="s">
        <v>127</v>
      </c>
      <c r="J42" s="45">
        <v>4.5199999999999996</v>
      </c>
      <c r="K42" s="32">
        <v>1.58</v>
      </c>
      <c r="L42" s="45">
        <v>35.5</v>
      </c>
      <c r="M42" s="34" t="s">
        <v>128</v>
      </c>
      <c r="N42" s="32"/>
      <c r="O42" s="32"/>
      <c r="P42" s="32"/>
      <c r="Q42" s="1" t="s">
        <v>656</v>
      </c>
      <c r="R42" s="1" t="s">
        <v>811</v>
      </c>
      <c r="S42" s="1" t="s">
        <v>797</v>
      </c>
    </row>
    <row r="43" spans="1:21" hidden="1" x14ac:dyDescent="0.25">
      <c r="A43" s="29" t="s">
        <v>69</v>
      </c>
      <c r="B43" s="29">
        <v>2</v>
      </c>
      <c r="C43" s="29">
        <v>62</v>
      </c>
      <c r="D43" s="29" t="s">
        <v>489</v>
      </c>
      <c r="E43" s="29" t="s">
        <v>252</v>
      </c>
      <c r="F43" s="30" t="s">
        <v>119</v>
      </c>
      <c r="G43" s="43">
        <v>238</v>
      </c>
      <c r="H43" s="29" t="s">
        <v>122</v>
      </c>
      <c r="I43" s="29" t="s">
        <v>164</v>
      </c>
      <c r="J43" s="43">
        <v>4.51</v>
      </c>
      <c r="K43" s="29">
        <v>1.58</v>
      </c>
      <c r="L43" s="43">
        <v>37</v>
      </c>
      <c r="M43" s="31" t="s">
        <v>146</v>
      </c>
      <c r="N43" s="29"/>
      <c r="O43" s="29"/>
      <c r="P43" s="29">
        <v>21</v>
      </c>
      <c r="R43" s="1" t="s">
        <v>811</v>
      </c>
      <c r="S43" s="1" t="s">
        <v>820</v>
      </c>
    </row>
    <row r="44" spans="1:21" hidden="1" x14ac:dyDescent="0.25">
      <c r="A44" s="35" t="s">
        <v>59</v>
      </c>
      <c r="B44" s="35">
        <v>2</v>
      </c>
      <c r="C44" s="35">
        <v>64</v>
      </c>
      <c r="D44" s="35" t="s">
        <v>228</v>
      </c>
      <c r="E44" s="35" t="s">
        <v>18</v>
      </c>
      <c r="F44" s="36" t="s">
        <v>208</v>
      </c>
      <c r="G44" s="35">
        <v>188</v>
      </c>
      <c r="H44" s="35" t="s">
        <v>77</v>
      </c>
      <c r="I44" s="45" t="s">
        <v>141</v>
      </c>
      <c r="J44" s="35"/>
      <c r="K44" s="35"/>
      <c r="L44" s="43">
        <v>39</v>
      </c>
      <c r="M44" s="37"/>
      <c r="N44" s="35"/>
      <c r="O44" s="35"/>
      <c r="P44" s="35"/>
      <c r="Q44" s="1" t="s">
        <v>648</v>
      </c>
      <c r="R44" s="1" t="s">
        <v>812</v>
      </c>
      <c r="S44" s="1" t="s">
        <v>685</v>
      </c>
    </row>
    <row r="45" spans="1:21" hidden="1" x14ac:dyDescent="0.25">
      <c r="A45" s="26" t="s">
        <v>36</v>
      </c>
      <c r="B45" s="26">
        <v>2</v>
      </c>
      <c r="C45" s="26">
        <v>65</v>
      </c>
      <c r="D45" s="26" t="s">
        <v>522</v>
      </c>
      <c r="E45" s="26" t="s">
        <v>106</v>
      </c>
      <c r="F45" s="42" t="s">
        <v>327</v>
      </c>
      <c r="G45" s="26">
        <v>239</v>
      </c>
      <c r="H45" s="26" t="s">
        <v>39</v>
      </c>
      <c r="I45" s="45" t="s">
        <v>123</v>
      </c>
      <c r="J45" s="26">
        <v>4.6399999999999997</v>
      </c>
      <c r="K45" s="26">
        <v>1.63</v>
      </c>
      <c r="L45" s="43">
        <v>39</v>
      </c>
      <c r="M45" s="28" t="s">
        <v>146</v>
      </c>
      <c r="N45" s="26"/>
      <c r="O45" s="26"/>
      <c r="P45" s="26"/>
      <c r="Q45" s="1" t="s">
        <v>648</v>
      </c>
      <c r="R45" s="1" t="s">
        <v>813</v>
      </c>
      <c r="S45" s="1" t="s">
        <v>751</v>
      </c>
    </row>
    <row r="46" spans="1:21" hidden="1" x14ac:dyDescent="0.25">
      <c r="A46" s="11" t="s">
        <v>32</v>
      </c>
      <c r="B46" s="11">
        <v>2</v>
      </c>
      <c r="C46" s="11">
        <v>65</v>
      </c>
      <c r="D46" s="11" t="s">
        <v>207</v>
      </c>
      <c r="E46" s="11" t="s">
        <v>115</v>
      </c>
      <c r="F46" s="12" t="s">
        <v>208</v>
      </c>
      <c r="G46" s="11">
        <v>177</v>
      </c>
      <c r="H46" s="11">
        <v>9</v>
      </c>
      <c r="I46" s="11" t="s">
        <v>209</v>
      </c>
      <c r="J46" s="43">
        <v>4.3499999999999996</v>
      </c>
      <c r="K46" s="11">
        <v>1.5</v>
      </c>
      <c r="L46" s="43">
        <v>38</v>
      </c>
      <c r="M46" s="13" t="s">
        <v>146</v>
      </c>
      <c r="N46" s="11"/>
      <c r="O46" s="11"/>
      <c r="P46" s="11"/>
      <c r="Q46" s="1" t="s">
        <v>648</v>
      </c>
      <c r="R46" s="1" t="s">
        <v>812</v>
      </c>
      <c r="S46" s="1" t="s">
        <v>654</v>
      </c>
      <c r="T46" s="38">
        <v>811</v>
      </c>
      <c r="U46" s="1">
        <v>6</v>
      </c>
    </row>
    <row r="47" spans="1:21" hidden="1" x14ac:dyDescent="0.25">
      <c r="A47" s="35" t="s">
        <v>59</v>
      </c>
      <c r="B47" s="35">
        <v>2</v>
      </c>
      <c r="C47" s="35">
        <v>65</v>
      </c>
      <c r="D47" s="35" t="s">
        <v>477</v>
      </c>
      <c r="E47" s="35" t="s">
        <v>24</v>
      </c>
      <c r="F47" s="44" t="s">
        <v>119</v>
      </c>
      <c r="G47" s="45">
        <v>193</v>
      </c>
      <c r="H47" s="35" t="s">
        <v>336</v>
      </c>
      <c r="I47" s="35">
        <v>32</v>
      </c>
      <c r="J47" s="43">
        <v>4.41</v>
      </c>
      <c r="K47" s="35">
        <v>1.55</v>
      </c>
      <c r="L47" s="43">
        <v>42</v>
      </c>
      <c r="M47" s="37" t="s">
        <v>104</v>
      </c>
      <c r="N47" s="35"/>
      <c r="O47" s="35"/>
      <c r="P47" s="35"/>
      <c r="Q47" s="1" t="s">
        <v>648</v>
      </c>
      <c r="R47" s="1" t="s">
        <v>811</v>
      </c>
      <c r="S47" s="1" t="s">
        <v>719</v>
      </c>
    </row>
    <row r="48" spans="1:21" x14ac:dyDescent="0.25">
      <c r="A48" s="23" t="s">
        <v>834</v>
      </c>
      <c r="B48" s="23">
        <v>2</v>
      </c>
      <c r="C48" s="23">
        <v>65</v>
      </c>
      <c r="D48" s="23" t="s">
        <v>174</v>
      </c>
      <c r="E48" s="23" t="s">
        <v>175</v>
      </c>
      <c r="F48" s="44" t="s">
        <v>176</v>
      </c>
      <c r="G48" s="43">
        <v>327</v>
      </c>
      <c r="H48" s="23" t="s">
        <v>177</v>
      </c>
      <c r="I48" s="23">
        <v>35</v>
      </c>
      <c r="J48" s="45">
        <v>5.05</v>
      </c>
      <c r="K48" s="23">
        <v>1.76</v>
      </c>
      <c r="L48" s="43">
        <v>32</v>
      </c>
      <c r="M48" s="25" t="s">
        <v>178</v>
      </c>
      <c r="N48" s="23"/>
      <c r="O48" s="23"/>
      <c r="P48" s="23"/>
      <c r="Q48" s="1" t="s">
        <v>661</v>
      </c>
      <c r="R48" s="1" t="s">
        <v>811</v>
      </c>
      <c r="S48" s="1" t="s">
        <v>699</v>
      </c>
    </row>
    <row r="49" spans="1:21" hidden="1" x14ac:dyDescent="0.25">
      <c r="A49" s="32" t="s">
        <v>22</v>
      </c>
      <c r="B49" s="32">
        <v>2</v>
      </c>
      <c r="C49" s="32">
        <v>70</v>
      </c>
      <c r="D49" s="32" t="s">
        <v>521</v>
      </c>
      <c r="E49" s="32" t="s">
        <v>85</v>
      </c>
      <c r="F49" s="33" t="s">
        <v>327</v>
      </c>
      <c r="G49" s="43">
        <v>203</v>
      </c>
      <c r="H49" s="32" t="s">
        <v>20</v>
      </c>
      <c r="I49" s="32">
        <v>31</v>
      </c>
      <c r="J49" s="56">
        <v>4.62</v>
      </c>
      <c r="K49" s="32"/>
      <c r="L49" s="32">
        <v>32.5</v>
      </c>
      <c r="M49" s="34" t="s">
        <v>128</v>
      </c>
      <c r="N49" s="56">
        <v>6.98</v>
      </c>
      <c r="O49" s="58">
        <v>4.1100000000000003</v>
      </c>
      <c r="P49" s="32"/>
      <c r="Q49" s="1" t="s">
        <v>648</v>
      </c>
      <c r="R49" s="1" t="s">
        <v>812</v>
      </c>
      <c r="S49" s="1" t="s">
        <v>798</v>
      </c>
    </row>
    <row r="50" spans="1:21" hidden="1" x14ac:dyDescent="0.25">
      <c r="A50" s="17" t="s">
        <v>83</v>
      </c>
      <c r="B50" s="17">
        <v>2</v>
      </c>
      <c r="C50" s="17">
        <v>70</v>
      </c>
      <c r="D50" s="17" t="s">
        <v>550</v>
      </c>
      <c r="E50" s="17" t="s">
        <v>264</v>
      </c>
      <c r="F50" s="18" t="s">
        <v>151</v>
      </c>
      <c r="G50" s="17">
        <v>316</v>
      </c>
      <c r="H50" s="17">
        <v>10</v>
      </c>
      <c r="I50" s="43" t="s">
        <v>58</v>
      </c>
      <c r="J50" s="43">
        <v>5.05</v>
      </c>
      <c r="K50" s="17">
        <v>1.81</v>
      </c>
      <c r="L50" s="43">
        <v>32.5</v>
      </c>
      <c r="M50" s="19" t="s">
        <v>89</v>
      </c>
      <c r="N50" s="17">
        <v>7.54</v>
      </c>
      <c r="O50" s="17"/>
      <c r="P50" s="54">
        <v>27</v>
      </c>
      <c r="R50" s="1" t="s">
        <v>812</v>
      </c>
      <c r="S50" s="1" t="s">
        <v>828</v>
      </c>
    </row>
    <row r="51" spans="1:21" hidden="1" x14ac:dyDescent="0.25">
      <c r="A51" s="20" t="s">
        <v>54</v>
      </c>
      <c r="B51" s="20">
        <v>3</v>
      </c>
      <c r="C51" s="20">
        <v>80</v>
      </c>
      <c r="D51" s="20" t="s">
        <v>618</v>
      </c>
      <c r="E51" s="20" t="s">
        <v>34</v>
      </c>
      <c r="F51" s="42" t="s">
        <v>617</v>
      </c>
      <c r="G51" s="20">
        <v>321</v>
      </c>
      <c r="H51" s="20">
        <v>9</v>
      </c>
      <c r="I51" s="43" t="s">
        <v>580</v>
      </c>
      <c r="J51" s="43">
        <v>4.91</v>
      </c>
      <c r="K51" s="20">
        <v>1.73</v>
      </c>
      <c r="L51" s="45">
        <v>30.5</v>
      </c>
      <c r="M51" s="46" t="s">
        <v>240</v>
      </c>
      <c r="N51" s="20"/>
      <c r="O51" s="20"/>
      <c r="P51" s="20"/>
      <c r="Q51" s="1" t="s">
        <v>656</v>
      </c>
      <c r="R51" s="1" t="s">
        <v>811</v>
      </c>
      <c r="S51" s="1" t="s">
        <v>745</v>
      </c>
    </row>
    <row r="52" spans="1:21" hidden="1" x14ac:dyDescent="0.25">
      <c r="A52" s="32" t="s">
        <v>22</v>
      </c>
      <c r="B52" s="32">
        <v>3</v>
      </c>
      <c r="C52" s="32">
        <v>85</v>
      </c>
      <c r="D52" s="32" t="s">
        <v>429</v>
      </c>
      <c r="E52" s="32" t="s">
        <v>276</v>
      </c>
      <c r="F52" s="33" t="s">
        <v>30</v>
      </c>
      <c r="G52" s="32">
        <v>188</v>
      </c>
      <c r="H52" s="32">
        <v>9</v>
      </c>
      <c r="I52" s="32" t="s">
        <v>103</v>
      </c>
      <c r="J52" s="43">
        <v>4.41</v>
      </c>
      <c r="K52" s="32">
        <v>1.56</v>
      </c>
      <c r="L52" s="43">
        <v>38</v>
      </c>
      <c r="M52" s="34" t="s">
        <v>290</v>
      </c>
      <c r="N52" s="32"/>
      <c r="O52" s="32"/>
      <c r="P52" s="32"/>
      <c r="Q52" s="1" t="s">
        <v>648</v>
      </c>
      <c r="R52" s="1" t="s">
        <v>811</v>
      </c>
      <c r="S52" s="1" t="s">
        <v>801</v>
      </c>
    </row>
    <row r="53" spans="1:21" hidden="1" x14ac:dyDescent="0.25">
      <c r="A53" s="20" t="s">
        <v>54</v>
      </c>
      <c r="B53" s="20">
        <v>3</v>
      </c>
      <c r="C53" s="20">
        <v>85</v>
      </c>
      <c r="D53" s="20" t="s">
        <v>637</v>
      </c>
      <c r="E53" s="20" t="s">
        <v>138</v>
      </c>
      <c r="F53" s="44" t="s">
        <v>638</v>
      </c>
      <c r="G53" s="20">
        <v>319</v>
      </c>
      <c r="H53" s="20">
        <v>10</v>
      </c>
      <c r="I53" s="43" t="s">
        <v>639</v>
      </c>
      <c r="J53" s="43">
        <v>5.14</v>
      </c>
      <c r="K53" s="20">
        <v>1.79</v>
      </c>
      <c r="L53" s="20"/>
      <c r="M53" s="22"/>
      <c r="N53" s="20"/>
      <c r="O53" s="20"/>
      <c r="P53" s="20"/>
      <c r="Q53" s="1" t="s">
        <v>656</v>
      </c>
      <c r="R53" s="1" t="s">
        <v>812</v>
      </c>
      <c r="S53" s="1" t="s">
        <v>669</v>
      </c>
    </row>
    <row r="54" spans="1:21" hidden="1" x14ac:dyDescent="0.25">
      <c r="A54" s="26" t="s">
        <v>36</v>
      </c>
      <c r="B54" s="26">
        <v>3</v>
      </c>
      <c r="C54" s="26">
        <v>90</v>
      </c>
      <c r="D54" s="26" t="s">
        <v>94</v>
      </c>
      <c r="E54" s="26" t="s">
        <v>95</v>
      </c>
      <c r="F54" s="44" t="s">
        <v>96</v>
      </c>
      <c r="G54" s="43">
        <v>258</v>
      </c>
      <c r="H54" s="26">
        <v>10</v>
      </c>
      <c r="I54" s="43" t="s">
        <v>97</v>
      </c>
      <c r="J54" s="26">
        <v>4.84</v>
      </c>
      <c r="K54" s="26">
        <v>1.67</v>
      </c>
      <c r="L54" s="26">
        <v>32.5</v>
      </c>
      <c r="M54" s="28" t="s">
        <v>98</v>
      </c>
      <c r="N54" s="26"/>
      <c r="O54" s="26"/>
      <c r="P54" s="26"/>
      <c r="Q54" s="1" t="s">
        <v>656</v>
      </c>
      <c r="R54" s="1" t="s">
        <v>811</v>
      </c>
      <c r="S54" s="1" t="s">
        <v>782</v>
      </c>
    </row>
    <row r="55" spans="1:21" hidden="1" x14ac:dyDescent="0.25">
      <c r="A55" s="29" t="s">
        <v>69</v>
      </c>
      <c r="B55" s="29">
        <v>3</v>
      </c>
      <c r="C55" s="29">
        <v>90</v>
      </c>
      <c r="D55" s="29" t="s">
        <v>114</v>
      </c>
      <c r="E55" s="29" t="s">
        <v>115</v>
      </c>
      <c r="F55" s="30" t="s">
        <v>81</v>
      </c>
      <c r="G55" s="29">
        <v>230</v>
      </c>
      <c r="H55" s="29" t="s">
        <v>116</v>
      </c>
      <c r="I55" s="29" t="s">
        <v>117</v>
      </c>
      <c r="J55" s="29"/>
      <c r="K55" s="29"/>
      <c r="L55" s="29"/>
      <c r="M55" s="31"/>
      <c r="N55" s="29"/>
      <c r="O55" s="29"/>
      <c r="P55" s="29"/>
      <c r="R55" s="1" t="s">
        <v>812</v>
      </c>
      <c r="S55" s="1" t="s">
        <v>821</v>
      </c>
    </row>
    <row r="56" spans="1:21" hidden="1" x14ac:dyDescent="0.25">
      <c r="A56" s="8" t="s">
        <v>27</v>
      </c>
      <c r="B56" s="8">
        <v>3</v>
      </c>
      <c r="C56" s="8">
        <v>90</v>
      </c>
      <c r="D56" s="8" t="s">
        <v>245</v>
      </c>
      <c r="E56" s="8" t="s">
        <v>246</v>
      </c>
      <c r="F56" s="9" t="s">
        <v>191</v>
      </c>
      <c r="G56" s="43">
        <v>223</v>
      </c>
      <c r="H56" s="8" t="s">
        <v>126</v>
      </c>
      <c r="I56" s="8" t="s">
        <v>247</v>
      </c>
      <c r="J56" s="43">
        <v>4.33</v>
      </c>
      <c r="K56" s="8">
        <v>1.51</v>
      </c>
      <c r="L56" s="43">
        <v>39</v>
      </c>
      <c r="M56" s="10" t="s">
        <v>248</v>
      </c>
      <c r="N56" s="58">
        <v>6.96</v>
      </c>
      <c r="O56" s="72">
        <v>4.32</v>
      </c>
      <c r="P56" s="8"/>
      <c r="Q56" s="1" t="s">
        <v>648</v>
      </c>
      <c r="R56" s="1" t="s">
        <v>811</v>
      </c>
      <c r="S56" s="1" t="s">
        <v>781</v>
      </c>
      <c r="T56" s="38">
        <v>1070</v>
      </c>
      <c r="U56" s="1">
        <v>8</v>
      </c>
    </row>
    <row r="57" spans="1:21" hidden="1" x14ac:dyDescent="0.25">
      <c r="A57" s="32" t="s">
        <v>22</v>
      </c>
      <c r="B57" s="32">
        <v>3</v>
      </c>
      <c r="C57" s="32">
        <v>90</v>
      </c>
      <c r="D57" s="32" t="s">
        <v>451</v>
      </c>
      <c r="E57" s="32" t="s">
        <v>407</v>
      </c>
      <c r="F57" s="33" t="s">
        <v>191</v>
      </c>
      <c r="G57" s="32">
        <v>190</v>
      </c>
      <c r="H57" s="32" t="s">
        <v>398</v>
      </c>
      <c r="I57" s="32" t="s">
        <v>49</v>
      </c>
      <c r="J57" s="43">
        <v>4.33</v>
      </c>
      <c r="K57" s="32">
        <v>1.5</v>
      </c>
      <c r="L57" s="43">
        <v>38</v>
      </c>
      <c r="M57" s="34" t="s">
        <v>325</v>
      </c>
      <c r="N57" s="32"/>
      <c r="O57" s="32"/>
      <c r="P57" s="56">
        <v>16</v>
      </c>
      <c r="Q57" s="1" t="s">
        <v>648</v>
      </c>
      <c r="R57" s="1" t="s">
        <v>811</v>
      </c>
      <c r="S57" s="1" t="s">
        <v>800</v>
      </c>
    </row>
    <row r="58" spans="1:21" hidden="1" x14ac:dyDescent="0.25">
      <c r="A58" s="29" t="s">
        <v>69</v>
      </c>
      <c r="B58" s="29">
        <v>3</v>
      </c>
      <c r="C58" s="29">
        <v>91</v>
      </c>
      <c r="D58" s="29" t="s">
        <v>184</v>
      </c>
      <c r="E58" s="29" t="s">
        <v>185</v>
      </c>
      <c r="F58" s="30" t="s">
        <v>119</v>
      </c>
      <c r="G58" s="45">
        <v>237</v>
      </c>
      <c r="H58" s="29" t="s">
        <v>108</v>
      </c>
      <c r="I58" s="29" t="s">
        <v>123</v>
      </c>
      <c r="J58" s="29"/>
      <c r="K58" s="29"/>
      <c r="L58" s="29"/>
      <c r="M58" s="31"/>
      <c r="N58" s="29"/>
      <c r="O58" s="29"/>
      <c r="P58" s="29">
        <v>27</v>
      </c>
      <c r="S58" s="1" t="s">
        <v>822</v>
      </c>
    </row>
    <row r="59" spans="1:21" hidden="1" x14ac:dyDescent="0.25">
      <c r="A59" s="11" t="s">
        <v>32</v>
      </c>
      <c r="B59" s="11">
        <v>3</v>
      </c>
      <c r="C59" s="11">
        <v>91</v>
      </c>
      <c r="D59" s="11" t="s">
        <v>210</v>
      </c>
      <c r="E59" s="11" t="s">
        <v>211</v>
      </c>
      <c r="F59" s="42" t="s">
        <v>212</v>
      </c>
      <c r="G59" s="43">
        <v>222</v>
      </c>
      <c r="H59" s="43">
        <v>10</v>
      </c>
      <c r="I59" s="11" t="s">
        <v>49</v>
      </c>
      <c r="J59" s="11"/>
      <c r="K59" s="11"/>
      <c r="L59" s="11"/>
      <c r="M59" s="13"/>
      <c r="N59" s="11"/>
      <c r="O59" s="11"/>
      <c r="P59" s="11"/>
      <c r="Q59" s="1" t="s">
        <v>648</v>
      </c>
      <c r="R59" s="1" t="s">
        <v>812</v>
      </c>
      <c r="S59" s="1" t="s">
        <v>711</v>
      </c>
      <c r="T59" s="38">
        <v>917</v>
      </c>
      <c r="U59" s="1">
        <v>6</v>
      </c>
    </row>
    <row r="60" spans="1:21" hidden="1" x14ac:dyDescent="0.25">
      <c r="A60" s="26" t="s">
        <v>36</v>
      </c>
      <c r="B60" s="26">
        <v>3</v>
      </c>
      <c r="C60" s="26">
        <v>92</v>
      </c>
      <c r="D60" s="26" t="s">
        <v>601</v>
      </c>
      <c r="E60" s="26" t="s">
        <v>75</v>
      </c>
      <c r="F60" s="44" t="s">
        <v>271</v>
      </c>
      <c r="G60" s="43">
        <v>256</v>
      </c>
      <c r="H60" s="26" t="s">
        <v>108</v>
      </c>
      <c r="I60" s="43" t="s">
        <v>135</v>
      </c>
      <c r="J60" s="26"/>
      <c r="K60" s="26"/>
      <c r="L60" s="26"/>
      <c r="M60" s="28"/>
      <c r="N60" s="26"/>
      <c r="O60" s="26"/>
      <c r="P60" s="26"/>
      <c r="Q60" s="1" t="s">
        <v>661</v>
      </c>
      <c r="R60" s="1" t="s">
        <v>811</v>
      </c>
      <c r="S60" s="1" t="s">
        <v>861</v>
      </c>
    </row>
    <row r="61" spans="1:21" hidden="1" x14ac:dyDescent="0.25">
      <c r="A61" s="29" t="s">
        <v>69</v>
      </c>
      <c r="B61" s="29">
        <v>3</v>
      </c>
      <c r="C61" s="29">
        <v>92</v>
      </c>
      <c r="D61" s="29" t="s">
        <v>190</v>
      </c>
      <c r="E61" s="29" t="s">
        <v>106</v>
      </c>
      <c r="F61" s="30" t="s">
        <v>191</v>
      </c>
      <c r="G61" s="45">
        <v>231</v>
      </c>
      <c r="H61" s="29" t="s">
        <v>148</v>
      </c>
      <c r="I61" s="29" t="s">
        <v>53</v>
      </c>
      <c r="J61" s="43">
        <v>4.57</v>
      </c>
      <c r="K61" s="29">
        <v>1.6</v>
      </c>
      <c r="L61" s="43">
        <v>38.5</v>
      </c>
      <c r="M61" s="31" t="s">
        <v>192</v>
      </c>
      <c r="N61" s="29">
        <v>6.9</v>
      </c>
      <c r="O61" s="43">
        <v>4.1900000000000004</v>
      </c>
      <c r="P61" s="29"/>
      <c r="R61" s="1" t="s">
        <v>811</v>
      </c>
      <c r="S61" s="1" t="s">
        <v>749</v>
      </c>
    </row>
    <row r="62" spans="1:21" hidden="1" x14ac:dyDescent="0.25">
      <c r="A62" s="26" t="s">
        <v>36</v>
      </c>
      <c r="B62" s="26">
        <v>3</v>
      </c>
      <c r="C62" s="26">
        <v>93</v>
      </c>
      <c r="D62" s="26" t="s">
        <v>540</v>
      </c>
      <c r="E62" s="26" t="s">
        <v>66</v>
      </c>
      <c r="F62" s="42" t="s">
        <v>107</v>
      </c>
      <c r="G62" s="43">
        <v>263</v>
      </c>
      <c r="H62" s="26" t="s">
        <v>39</v>
      </c>
      <c r="I62" s="43" t="s">
        <v>274</v>
      </c>
      <c r="J62" s="26">
        <v>4.68</v>
      </c>
      <c r="K62" s="26">
        <v>1.61</v>
      </c>
      <c r="L62" s="45">
        <v>34</v>
      </c>
      <c r="M62" s="28" t="s">
        <v>192</v>
      </c>
      <c r="N62" s="26"/>
      <c r="O62" s="26"/>
      <c r="P62" s="26"/>
      <c r="Q62" s="1" t="s">
        <v>648</v>
      </c>
      <c r="R62" s="1" t="s">
        <v>812</v>
      </c>
      <c r="S62" s="1" t="s">
        <v>860</v>
      </c>
    </row>
    <row r="63" spans="1:21" hidden="1" x14ac:dyDescent="0.25">
      <c r="A63" s="17" t="s">
        <v>83</v>
      </c>
      <c r="B63" s="17">
        <v>3</v>
      </c>
      <c r="C63" s="17">
        <v>95</v>
      </c>
      <c r="D63" s="17" t="s">
        <v>513</v>
      </c>
      <c r="E63" s="17" t="s">
        <v>397</v>
      </c>
      <c r="F63" s="18" t="s">
        <v>514</v>
      </c>
      <c r="G63" s="17">
        <v>299</v>
      </c>
      <c r="H63" s="17" t="s">
        <v>39</v>
      </c>
      <c r="I63" s="17" t="s">
        <v>515</v>
      </c>
      <c r="J63" s="43">
        <v>4.9000000000000004</v>
      </c>
      <c r="K63" s="17">
        <v>1.75</v>
      </c>
      <c r="L63" s="43">
        <v>32</v>
      </c>
      <c r="M63" s="46" t="s">
        <v>516</v>
      </c>
      <c r="N63" s="54">
        <v>7.46</v>
      </c>
      <c r="O63" s="54">
        <v>4.59</v>
      </c>
      <c r="P63" s="17"/>
      <c r="Q63" s="1" t="s">
        <v>648</v>
      </c>
      <c r="R63" s="1" t="s">
        <v>812</v>
      </c>
      <c r="S63" s="1" t="s">
        <v>807</v>
      </c>
    </row>
    <row r="64" spans="1:21" hidden="1" x14ac:dyDescent="0.25">
      <c r="A64" s="11" t="s">
        <v>32</v>
      </c>
      <c r="B64" s="11">
        <v>3</v>
      </c>
      <c r="C64" s="11">
        <v>95</v>
      </c>
      <c r="D64" s="11" t="s">
        <v>150</v>
      </c>
      <c r="E64" s="11" t="s">
        <v>80</v>
      </c>
      <c r="F64" s="44" t="s">
        <v>151</v>
      </c>
      <c r="G64" s="43">
        <v>198</v>
      </c>
      <c r="H64" s="11">
        <v>9</v>
      </c>
      <c r="I64" s="11" t="s">
        <v>152</v>
      </c>
      <c r="J64" s="43">
        <v>4.37</v>
      </c>
      <c r="K64" s="11">
        <v>1.52</v>
      </c>
      <c r="L64" s="11"/>
      <c r="M64" s="13"/>
      <c r="N64" s="11"/>
      <c r="O64" s="11"/>
      <c r="P64" s="11"/>
      <c r="Q64" s="1" t="s">
        <v>648</v>
      </c>
      <c r="R64" s="1" t="s">
        <v>811</v>
      </c>
      <c r="S64" s="1" t="s">
        <v>651</v>
      </c>
      <c r="T64" s="38">
        <v>1017</v>
      </c>
      <c r="U64" s="1">
        <v>9</v>
      </c>
    </row>
    <row r="65" spans="1:21" hidden="1" x14ac:dyDescent="0.25">
      <c r="A65" s="8" t="s">
        <v>27</v>
      </c>
      <c r="B65" s="8">
        <v>3</v>
      </c>
      <c r="C65" s="8">
        <v>95</v>
      </c>
      <c r="D65" s="8" t="s">
        <v>204</v>
      </c>
      <c r="E65" s="8" t="s">
        <v>205</v>
      </c>
      <c r="F65" s="9" t="s">
        <v>206</v>
      </c>
      <c r="G65" s="8">
        <v>202</v>
      </c>
      <c r="H65" s="8" t="s">
        <v>132</v>
      </c>
      <c r="I65" s="8" t="s">
        <v>26</v>
      </c>
      <c r="J65" s="45">
        <v>4.5599999999999996</v>
      </c>
      <c r="K65" s="8">
        <v>1.59</v>
      </c>
      <c r="L65" s="45">
        <v>35.5</v>
      </c>
      <c r="M65" s="10" t="s">
        <v>192</v>
      </c>
      <c r="N65" s="8">
        <v>7.32</v>
      </c>
      <c r="O65" s="43">
        <v>4.29</v>
      </c>
      <c r="P65" s="8">
        <v>16</v>
      </c>
      <c r="Q65" s="1" t="s">
        <v>656</v>
      </c>
      <c r="R65" s="1" t="s">
        <v>812</v>
      </c>
      <c r="S65" s="1" t="s">
        <v>792</v>
      </c>
      <c r="T65" s="38">
        <v>1451</v>
      </c>
      <c r="U65" s="1">
        <v>12</v>
      </c>
    </row>
    <row r="66" spans="1:21" hidden="1" x14ac:dyDescent="0.25">
      <c r="A66" s="26" t="s">
        <v>36</v>
      </c>
      <c r="B66" s="26">
        <v>3</v>
      </c>
      <c r="C66" s="26">
        <v>95</v>
      </c>
      <c r="D66" s="26" t="s">
        <v>622</v>
      </c>
      <c r="E66" s="26" t="s">
        <v>85</v>
      </c>
      <c r="F66" s="44" t="s">
        <v>96</v>
      </c>
      <c r="G66" s="43">
        <v>256</v>
      </c>
      <c r="H66" s="26" t="s">
        <v>116</v>
      </c>
      <c r="I66" s="43" t="s">
        <v>135</v>
      </c>
      <c r="J66" s="26">
        <v>4.63</v>
      </c>
      <c r="K66" s="26">
        <v>1.63</v>
      </c>
      <c r="L66" s="43">
        <v>39.5</v>
      </c>
      <c r="M66" s="28" t="s">
        <v>142</v>
      </c>
      <c r="N66" s="43">
        <v>6.9</v>
      </c>
      <c r="O66" s="26"/>
      <c r="P66" s="59">
        <v>26</v>
      </c>
      <c r="R66" s="1" t="s">
        <v>811</v>
      </c>
      <c r="S66" s="1" t="s">
        <v>852</v>
      </c>
    </row>
    <row r="67" spans="1:21" hidden="1" x14ac:dyDescent="0.25">
      <c r="A67" s="35" t="s">
        <v>59</v>
      </c>
      <c r="B67" s="35">
        <v>3</v>
      </c>
      <c r="C67" s="35">
        <v>96</v>
      </c>
      <c r="D67" s="35" t="s">
        <v>414</v>
      </c>
      <c r="E67" s="35" t="s">
        <v>51</v>
      </c>
      <c r="F67" s="36" t="s">
        <v>415</v>
      </c>
      <c r="G67" s="45">
        <v>191</v>
      </c>
      <c r="H67" s="35" t="s">
        <v>113</v>
      </c>
      <c r="I67" s="45" t="s">
        <v>82</v>
      </c>
      <c r="J67" s="43">
        <v>4.43</v>
      </c>
      <c r="K67" s="35">
        <v>1.58</v>
      </c>
      <c r="L67" s="43">
        <v>38.5</v>
      </c>
      <c r="M67" s="37" t="s">
        <v>142</v>
      </c>
      <c r="N67" s="45">
        <v>7</v>
      </c>
      <c r="O67" s="43">
        <v>4.18</v>
      </c>
      <c r="P67" s="35"/>
      <c r="Q67" s="1" t="s">
        <v>648</v>
      </c>
      <c r="R67" s="1" t="s">
        <v>811</v>
      </c>
      <c r="S67" s="1" t="s">
        <v>730</v>
      </c>
    </row>
    <row r="68" spans="1:21" hidden="1" x14ac:dyDescent="0.25">
      <c r="A68" s="17" t="s">
        <v>83</v>
      </c>
      <c r="B68" s="17">
        <v>3</v>
      </c>
      <c r="C68" s="17">
        <v>97</v>
      </c>
      <c r="D68" s="17" t="s">
        <v>169</v>
      </c>
      <c r="E68" s="17" t="s">
        <v>138</v>
      </c>
      <c r="F68" s="18" t="s">
        <v>170</v>
      </c>
      <c r="G68" s="17">
        <v>315</v>
      </c>
      <c r="H68" s="17" t="s">
        <v>171</v>
      </c>
      <c r="I68" s="17" t="s">
        <v>172</v>
      </c>
      <c r="J68" s="43">
        <v>5.0199999999999996</v>
      </c>
      <c r="K68" s="17">
        <v>1.76</v>
      </c>
      <c r="L68" s="43">
        <v>32</v>
      </c>
      <c r="M68" s="47" t="s">
        <v>173</v>
      </c>
      <c r="N68" s="17">
        <v>7.53</v>
      </c>
      <c r="O68" s="17">
        <v>4.78</v>
      </c>
      <c r="P68" s="17"/>
      <c r="Q68" s="1" t="s">
        <v>648</v>
      </c>
      <c r="R68" s="1" t="s">
        <v>813</v>
      </c>
      <c r="S68" s="1" t="s">
        <v>670</v>
      </c>
    </row>
    <row r="69" spans="1:21" hidden="1" x14ac:dyDescent="0.25">
      <c r="A69" s="35" t="s">
        <v>59</v>
      </c>
      <c r="B69" s="35">
        <v>3</v>
      </c>
      <c r="C69" s="35">
        <v>98</v>
      </c>
      <c r="D69" s="35" t="s">
        <v>402</v>
      </c>
      <c r="E69" s="35" t="s">
        <v>34</v>
      </c>
      <c r="F69" s="36" t="s">
        <v>188</v>
      </c>
      <c r="G69" s="35">
        <v>189</v>
      </c>
      <c r="H69" s="35" t="s">
        <v>20</v>
      </c>
      <c r="I69" s="35">
        <v>30</v>
      </c>
      <c r="J69" s="35">
        <v>4.59</v>
      </c>
      <c r="K69" s="35">
        <v>1.62</v>
      </c>
      <c r="L69" s="43">
        <v>36</v>
      </c>
      <c r="M69" s="37"/>
      <c r="N69" s="35">
        <v>7.19</v>
      </c>
      <c r="O69" s="43">
        <v>4.1900000000000004</v>
      </c>
      <c r="P69" s="35"/>
      <c r="Q69" s="1" t="s">
        <v>648</v>
      </c>
      <c r="R69" s="1" t="s">
        <v>812</v>
      </c>
      <c r="S69" s="1" t="s">
        <v>748</v>
      </c>
    </row>
    <row r="70" spans="1:21" hidden="1" x14ac:dyDescent="0.25">
      <c r="A70" s="35" t="s">
        <v>59</v>
      </c>
      <c r="B70" s="35">
        <v>3</v>
      </c>
      <c r="C70" s="35">
        <v>100</v>
      </c>
      <c r="D70" s="35" t="s">
        <v>471</v>
      </c>
      <c r="E70" s="35" t="s">
        <v>138</v>
      </c>
      <c r="F70" s="44" t="s">
        <v>312</v>
      </c>
      <c r="G70" s="43">
        <v>200</v>
      </c>
      <c r="H70" s="35" t="s">
        <v>44</v>
      </c>
      <c r="I70" s="45" t="s">
        <v>141</v>
      </c>
      <c r="J70" s="45">
        <v>4.49</v>
      </c>
      <c r="K70" s="35">
        <v>1.56</v>
      </c>
      <c r="L70" s="45">
        <v>35</v>
      </c>
      <c r="M70" s="37" t="s">
        <v>110</v>
      </c>
      <c r="N70" s="35"/>
      <c r="O70" s="45">
        <v>4.28</v>
      </c>
      <c r="P70" s="35"/>
      <c r="Q70" s="1" t="s">
        <v>648</v>
      </c>
      <c r="R70" s="1" t="s">
        <v>812</v>
      </c>
      <c r="S70" s="1" t="s">
        <v>668</v>
      </c>
    </row>
    <row r="71" spans="1:21" hidden="1" x14ac:dyDescent="0.25">
      <c r="A71" s="26" t="s">
        <v>36</v>
      </c>
      <c r="B71" s="26">
        <v>3</v>
      </c>
      <c r="C71" s="26">
        <v>100</v>
      </c>
      <c r="D71" s="26" t="s">
        <v>527</v>
      </c>
      <c r="E71" s="26" t="s">
        <v>80</v>
      </c>
      <c r="F71" s="42" t="s">
        <v>327</v>
      </c>
      <c r="G71" s="26">
        <v>242</v>
      </c>
      <c r="H71" s="26">
        <v>10</v>
      </c>
      <c r="I71" s="43" t="s">
        <v>235</v>
      </c>
      <c r="J71" s="26"/>
      <c r="K71" s="26"/>
      <c r="L71" s="26"/>
      <c r="M71" s="28"/>
      <c r="N71" s="26"/>
      <c r="O71" s="26"/>
      <c r="P71" s="26"/>
      <c r="Q71" s="1" t="s">
        <v>656</v>
      </c>
      <c r="R71" s="1" t="s">
        <v>811</v>
      </c>
      <c r="S71" s="1" t="s">
        <v>659</v>
      </c>
    </row>
    <row r="72" spans="1:21" hidden="1" x14ac:dyDescent="0.25">
      <c r="A72" s="14" t="s">
        <v>99</v>
      </c>
      <c r="B72" s="14">
        <v>3</v>
      </c>
      <c r="C72" s="14">
        <v>100</v>
      </c>
      <c r="D72" s="14" t="s">
        <v>193</v>
      </c>
      <c r="E72" s="14" t="s">
        <v>187</v>
      </c>
      <c r="F72" s="15" t="s">
        <v>194</v>
      </c>
      <c r="G72" s="14">
        <v>239</v>
      </c>
      <c r="H72" s="45" t="s">
        <v>132</v>
      </c>
      <c r="I72" s="43" t="s">
        <v>195</v>
      </c>
      <c r="J72" s="14">
        <v>4.51</v>
      </c>
      <c r="K72" s="14">
        <v>1.59</v>
      </c>
      <c r="L72" s="43">
        <v>45.5</v>
      </c>
      <c r="M72" s="16" t="s">
        <v>196</v>
      </c>
      <c r="N72" s="14"/>
      <c r="O72" s="14"/>
      <c r="P72" s="14"/>
      <c r="R72" s="1" t="s">
        <v>811</v>
      </c>
      <c r="S72" s="1" t="s">
        <v>776</v>
      </c>
      <c r="T72" s="38">
        <v>769</v>
      </c>
      <c r="U72" s="1">
        <v>4</v>
      </c>
    </row>
    <row r="73" spans="1:21" hidden="1" x14ac:dyDescent="0.25">
      <c r="A73" s="11" t="s">
        <v>32</v>
      </c>
      <c r="B73" s="11">
        <v>3</v>
      </c>
      <c r="C73" s="11">
        <v>105</v>
      </c>
      <c r="D73" s="11" t="s">
        <v>213</v>
      </c>
      <c r="E73" s="11" t="s">
        <v>214</v>
      </c>
      <c r="F73" s="12" t="s">
        <v>25</v>
      </c>
      <c r="G73" s="45">
        <v>192</v>
      </c>
      <c r="H73" s="43">
        <v>10</v>
      </c>
      <c r="I73" s="11" t="s">
        <v>215</v>
      </c>
      <c r="J73" s="43">
        <v>4.4000000000000004</v>
      </c>
      <c r="K73" s="11">
        <v>1.53</v>
      </c>
      <c r="L73" s="43">
        <v>41</v>
      </c>
      <c r="M73" s="13" t="s">
        <v>104</v>
      </c>
      <c r="N73" s="58">
        <v>6.65</v>
      </c>
      <c r="O73" s="58">
        <v>4.1100000000000003</v>
      </c>
      <c r="P73" s="11"/>
      <c r="Q73" s="1" t="s">
        <v>656</v>
      </c>
      <c r="R73" s="1" t="s">
        <v>811</v>
      </c>
      <c r="S73" s="1" t="s">
        <v>774</v>
      </c>
      <c r="T73" s="38">
        <v>1278</v>
      </c>
      <c r="U73" s="1">
        <v>13</v>
      </c>
    </row>
    <row r="74" spans="1:21" hidden="1" x14ac:dyDescent="0.25">
      <c r="A74" s="11" t="s">
        <v>32</v>
      </c>
      <c r="B74" s="11">
        <v>3</v>
      </c>
      <c r="C74" s="11">
        <v>109</v>
      </c>
      <c r="D74" s="11" t="s">
        <v>334</v>
      </c>
      <c r="E74" s="11" t="s">
        <v>323</v>
      </c>
      <c r="F74" s="44" t="s">
        <v>332</v>
      </c>
      <c r="G74" s="43">
        <v>204</v>
      </c>
      <c r="H74" s="45" t="s">
        <v>126</v>
      </c>
      <c r="I74" s="11" t="s">
        <v>127</v>
      </c>
      <c r="J74" s="43">
        <v>4.34</v>
      </c>
      <c r="K74" s="11">
        <v>1.49</v>
      </c>
      <c r="L74" s="43">
        <v>41.5</v>
      </c>
      <c r="M74" s="13" t="s">
        <v>104</v>
      </c>
      <c r="N74" s="11"/>
      <c r="O74" s="11"/>
      <c r="P74" s="11"/>
      <c r="Q74" s="1" t="s">
        <v>656</v>
      </c>
      <c r="R74" s="1" t="s">
        <v>811</v>
      </c>
      <c r="S74" s="1" t="s">
        <v>775</v>
      </c>
      <c r="T74" s="38">
        <v>1079</v>
      </c>
      <c r="U74" s="1">
        <v>8</v>
      </c>
    </row>
    <row r="75" spans="1:21" hidden="1" x14ac:dyDescent="0.25">
      <c r="A75" s="29" t="s">
        <v>69</v>
      </c>
      <c r="B75" s="29">
        <v>4</v>
      </c>
      <c r="C75" s="29">
        <v>94</v>
      </c>
      <c r="D75" s="29" t="s">
        <v>430</v>
      </c>
      <c r="E75" s="29" t="s">
        <v>298</v>
      </c>
      <c r="F75" s="30" t="s">
        <v>30</v>
      </c>
      <c r="G75" s="29">
        <v>220</v>
      </c>
      <c r="H75" s="29" t="s">
        <v>39</v>
      </c>
      <c r="I75" s="29" t="s">
        <v>68</v>
      </c>
      <c r="J75" s="43">
        <v>4.53</v>
      </c>
      <c r="K75" s="29">
        <v>1.58</v>
      </c>
      <c r="L75" s="43">
        <v>39.5</v>
      </c>
      <c r="M75" s="31" t="s">
        <v>110</v>
      </c>
      <c r="N75" s="29">
        <v>6.97</v>
      </c>
      <c r="O75" s="43">
        <v>4.26</v>
      </c>
      <c r="P75" s="29"/>
      <c r="Q75" s="1" t="s">
        <v>648</v>
      </c>
      <c r="R75" s="1" t="s">
        <v>811</v>
      </c>
      <c r="S75" s="1" t="s">
        <v>803</v>
      </c>
    </row>
    <row r="76" spans="1:21" hidden="1" x14ac:dyDescent="0.25">
      <c r="A76" s="29" t="s">
        <v>69</v>
      </c>
      <c r="B76" s="29">
        <v>4</v>
      </c>
      <c r="C76" s="29">
        <v>95</v>
      </c>
      <c r="D76" s="29" t="s">
        <v>510</v>
      </c>
      <c r="E76" s="29" t="s">
        <v>223</v>
      </c>
      <c r="F76" s="30" t="s">
        <v>67</v>
      </c>
      <c r="G76" s="43">
        <v>238</v>
      </c>
      <c r="H76" s="29" t="s">
        <v>122</v>
      </c>
      <c r="I76" s="29" t="s">
        <v>441</v>
      </c>
      <c r="J76" s="29"/>
      <c r="K76" s="29"/>
      <c r="L76" s="43">
        <v>36</v>
      </c>
      <c r="M76" s="31" t="s">
        <v>254</v>
      </c>
      <c r="N76" s="29">
        <v>7</v>
      </c>
      <c r="O76" s="43">
        <v>4.26</v>
      </c>
      <c r="P76" s="61">
        <v>17</v>
      </c>
      <c r="Q76" s="1" t="s">
        <v>661</v>
      </c>
      <c r="R76" s="1" t="s">
        <v>811</v>
      </c>
      <c r="S76" s="1" t="s">
        <v>757</v>
      </c>
    </row>
    <row r="77" spans="1:21" hidden="1" x14ac:dyDescent="0.25">
      <c r="A77" s="29" t="s">
        <v>69</v>
      </c>
      <c r="B77" s="29">
        <v>4</v>
      </c>
      <c r="C77" s="29">
        <v>96</v>
      </c>
      <c r="D77" s="29" t="s">
        <v>412</v>
      </c>
      <c r="E77" s="29" t="s">
        <v>138</v>
      </c>
      <c r="F77" s="30" t="s">
        <v>243</v>
      </c>
      <c r="G77" s="29">
        <v>226</v>
      </c>
      <c r="H77" s="29" t="s">
        <v>413</v>
      </c>
      <c r="I77" s="29">
        <v>30</v>
      </c>
      <c r="J77" s="29"/>
      <c r="K77" s="29"/>
      <c r="L77" s="29"/>
      <c r="M77" s="31"/>
      <c r="N77" s="29">
        <v>7.32</v>
      </c>
      <c r="O77" s="45">
        <v>4.4800000000000004</v>
      </c>
      <c r="P77" s="29">
        <v>25</v>
      </c>
      <c r="Q77" s="1" t="s">
        <v>648</v>
      </c>
      <c r="S77" s="1" t="s">
        <v>823</v>
      </c>
    </row>
    <row r="78" spans="1:21" hidden="1" x14ac:dyDescent="0.25">
      <c r="A78" s="29" t="s">
        <v>69</v>
      </c>
      <c r="B78" s="29">
        <v>4</v>
      </c>
      <c r="C78" s="29">
        <v>97</v>
      </c>
      <c r="D78" s="29" t="s">
        <v>462</v>
      </c>
      <c r="E78" s="29" t="s">
        <v>61</v>
      </c>
      <c r="F78" s="30" t="s">
        <v>191</v>
      </c>
      <c r="G78" s="29">
        <v>223</v>
      </c>
      <c r="H78" s="29" t="s">
        <v>463</v>
      </c>
      <c r="I78" s="29" t="s">
        <v>464</v>
      </c>
      <c r="J78" s="29"/>
      <c r="K78" s="29"/>
      <c r="L78" s="29"/>
      <c r="M78" s="31"/>
      <c r="N78" s="29"/>
      <c r="O78" s="29"/>
      <c r="P78" s="29"/>
      <c r="R78" s="1" t="s">
        <v>812</v>
      </c>
      <c r="S78" s="1" t="s">
        <v>814</v>
      </c>
    </row>
    <row r="79" spans="1:21" hidden="1" x14ac:dyDescent="0.25">
      <c r="A79" s="29" t="s">
        <v>69</v>
      </c>
      <c r="B79" s="29">
        <v>4</v>
      </c>
      <c r="C79" s="29">
        <v>99</v>
      </c>
      <c r="D79" s="29" t="s">
        <v>600</v>
      </c>
      <c r="E79" s="29" t="s">
        <v>279</v>
      </c>
      <c r="F79" s="30" t="s">
        <v>71</v>
      </c>
      <c r="G79" s="43">
        <v>242</v>
      </c>
      <c r="H79" s="29" t="s">
        <v>39</v>
      </c>
      <c r="I79" s="29" t="s">
        <v>461</v>
      </c>
      <c r="J79" s="61">
        <v>4.76</v>
      </c>
      <c r="K79" s="61"/>
      <c r="L79" s="61">
        <v>29.5</v>
      </c>
      <c r="M79" s="68"/>
      <c r="N79" s="61"/>
      <c r="O79" s="72">
        <v>4.37</v>
      </c>
      <c r="P79" s="29"/>
      <c r="Q79" s="1" t="s">
        <v>648</v>
      </c>
      <c r="R79" s="1" t="s">
        <v>812</v>
      </c>
      <c r="S79" s="1" t="s">
        <v>759</v>
      </c>
    </row>
    <row r="80" spans="1:21" hidden="1" x14ac:dyDescent="0.25">
      <c r="A80" s="32" t="s">
        <v>22</v>
      </c>
      <c r="B80" s="32">
        <v>4</v>
      </c>
      <c r="C80" s="32">
        <v>110</v>
      </c>
      <c r="D80" s="32" t="s">
        <v>424</v>
      </c>
      <c r="E80" s="32" t="s">
        <v>75</v>
      </c>
      <c r="F80" s="33" t="s">
        <v>30</v>
      </c>
      <c r="G80" s="43">
        <v>202</v>
      </c>
      <c r="H80" s="32" t="s">
        <v>126</v>
      </c>
      <c r="I80" s="32" t="s">
        <v>141</v>
      </c>
      <c r="J80" s="43">
        <v>4.47</v>
      </c>
      <c r="K80" s="32">
        <v>1.57</v>
      </c>
      <c r="L80" s="43">
        <v>36</v>
      </c>
      <c r="M80" s="34" t="s">
        <v>192</v>
      </c>
      <c r="N80" s="32"/>
      <c r="O80" s="32"/>
      <c r="P80" s="32">
        <v>16</v>
      </c>
      <c r="Q80" s="1" t="s">
        <v>648</v>
      </c>
      <c r="R80" s="1" t="s">
        <v>811</v>
      </c>
      <c r="S80" s="1" t="s">
        <v>799</v>
      </c>
    </row>
    <row r="81" spans="1:24" hidden="1" x14ac:dyDescent="0.25">
      <c r="A81" s="26" t="s">
        <v>36</v>
      </c>
      <c r="B81" s="26">
        <v>4</v>
      </c>
      <c r="C81" s="26">
        <v>110</v>
      </c>
      <c r="D81" s="26" t="s">
        <v>621</v>
      </c>
      <c r="E81" s="26" t="s">
        <v>397</v>
      </c>
      <c r="F81" s="44" t="s">
        <v>96</v>
      </c>
      <c r="G81" s="43">
        <v>258</v>
      </c>
      <c r="H81" s="26">
        <v>9</v>
      </c>
      <c r="I81" s="45" t="s">
        <v>123</v>
      </c>
      <c r="J81" s="26">
        <v>4.8099999999999996</v>
      </c>
      <c r="K81" s="26">
        <v>1.64</v>
      </c>
      <c r="L81" s="26">
        <v>32.5</v>
      </c>
      <c r="M81" s="28" t="s">
        <v>240</v>
      </c>
      <c r="N81" s="59">
        <v>7.23</v>
      </c>
      <c r="O81" s="59">
        <v>4.4800000000000004</v>
      </c>
      <c r="P81" s="59">
        <v>26</v>
      </c>
      <c r="Q81" s="1" t="s">
        <v>648</v>
      </c>
      <c r="R81" s="1" t="s">
        <v>813</v>
      </c>
      <c r="S81" s="1" t="s">
        <v>846</v>
      </c>
    </row>
    <row r="82" spans="1:24" hidden="1" x14ac:dyDescent="0.25">
      <c r="A82" s="26" t="s">
        <v>36</v>
      </c>
      <c r="B82" s="26">
        <v>4</v>
      </c>
      <c r="C82" s="26">
        <v>111</v>
      </c>
      <c r="D82" s="26" t="s">
        <v>629</v>
      </c>
      <c r="E82" s="26" t="s">
        <v>185</v>
      </c>
      <c r="F82" s="44" t="s">
        <v>96</v>
      </c>
      <c r="G82" s="43">
        <v>262</v>
      </c>
      <c r="H82" s="26" t="s">
        <v>39</v>
      </c>
      <c r="I82" s="26">
        <v>33</v>
      </c>
      <c r="J82" s="59">
        <v>4.75</v>
      </c>
      <c r="K82" s="26"/>
      <c r="L82" s="59">
        <v>31</v>
      </c>
      <c r="M82" s="65">
        <v>46274</v>
      </c>
      <c r="N82" s="26"/>
      <c r="O82" s="26"/>
      <c r="P82" s="26"/>
      <c r="Q82" s="1" t="s">
        <v>656</v>
      </c>
      <c r="R82" s="1" t="s">
        <v>811</v>
      </c>
      <c r="S82" s="1" t="s">
        <v>855</v>
      </c>
    </row>
    <row r="83" spans="1:24" hidden="1" x14ac:dyDescent="0.25">
      <c r="A83" s="11" t="s">
        <v>32</v>
      </c>
      <c r="B83" s="11">
        <v>4</v>
      </c>
      <c r="C83" s="11">
        <v>114</v>
      </c>
      <c r="D83" s="11" t="s">
        <v>278</v>
      </c>
      <c r="E83" s="11" t="s">
        <v>279</v>
      </c>
      <c r="F83" s="12" t="s">
        <v>280</v>
      </c>
      <c r="G83" s="11">
        <v>180</v>
      </c>
      <c r="H83" s="45" t="s">
        <v>20</v>
      </c>
      <c r="I83" s="11" t="s">
        <v>209</v>
      </c>
      <c r="J83" s="43">
        <v>4.3</v>
      </c>
      <c r="K83" s="11">
        <v>1.49</v>
      </c>
      <c r="L83" s="43">
        <v>42.5</v>
      </c>
      <c r="M83" s="13" t="s">
        <v>142</v>
      </c>
      <c r="N83" s="62">
        <v>7.21</v>
      </c>
      <c r="O83" s="58">
        <v>4.22</v>
      </c>
      <c r="P83" s="11"/>
      <c r="Q83" s="1" t="s">
        <v>648</v>
      </c>
      <c r="R83" s="1" t="s">
        <v>811</v>
      </c>
      <c r="S83" s="1" t="s">
        <v>762</v>
      </c>
      <c r="T83" s="38">
        <v>620</v>
      </c>
      <c r="U83" s="1">
        <v>4</v>
      </c>
    </row>
    <row r="84" spans="1:24" hidden="1" x14ac:dyDescent="0.25">
      <c r="A84" s="26" t="s">
        <v>36</v>
      </c>
      <c r="B84" s="26">
        <v>4</v>
      </c>
      <c r="C84" s="26">
        <v>114</v>
      </c>
      <c r="D84" s="26" t="s">
        <v>559</v>
      </c>
      <c r="E84" s="26" t="s">
        <v>315</v>
      </c>
      <c r="F84" s="44" t="s">
        <v>151</v>
      </c>
      <c r="G84" s="43">
        <v>260</v>
      </c>
      <c r="H84" s="26">
        <v>10</v>
      </c>
      <c r="I84" s="26">
        <v>33</v>
      </c>
      <c r="J84" s="26"/>
      <c r="K84" s="26"/>
      <c r="L84" s="26"/>
      <c r="M84" s="28"/>
      <c r="N84" s="26"/>
      <c r="O84" s="26"/>
      <c r="P84" s="43">
        <v>30</v>
      </c>
      <c r="Q84" s="1" t="s">
        <v>648</v>
      </c>
      <c r="R84" s="1" t="s">
        <v>811</v>
      </c>
      <c r="S84" s="1" t="s">
        <v>819</v>
      </c>
    </row>
    <row r="85" spans="1:24" hidden="1" x14ac:dyDescent="0.25">
      <c r="A85" s="11" t="s">
        <v>32</v>
      </c>
      <c r="B85" s="11">
        <v>4</v>
      </c>
      <c r="C85" s="11">
        <v>115</v>
      </c>
      <c r="D85" s="11" t="s">
        <v>383</v>
      </c>
      <c r="E85" s="11" t="s">
        <v>344</v>
      </c>
      <c r="F85" s="12"/>
      <c r="G85" s="43">
        <v>207</v>
      </c>
      <c r="H85" s="43">
        <v>10</v>
      </c>
      <c r="I85" s="11" t="s">
        <v>286</v>
      </c>
      <c r="J85" s="43">
        <v>4.3600000000000003</v>
      </c>
      <c r="K85" s="11">
        <v>1.53</v>
      </c>
      <c r="L85" s="45">
        <v>36</v>
      </c>
      <c r="M85" s="13" t="s">
        <v>290</v>
      </c>
      <c r="N85" s="11"/>
      <c r="O85" s="11"/>
      <c r="P85" s="11"/>
      <c r="Q85" s="1" t="s">
        <v>648</v>
      </c>
      <c r="R85" s="1" t="s">
        <v>812</v>
      </c>
      <c r="S85" s="1" t="s">
        <v>769</v>
      </c>
      <c r="T85" s="38">
        <v>811</v>
      </c>
      <c r="U85" s="1">
        <v>6</v>
      </c>
    </row>
    <row r="86" spans="1:24" hidden="1" x14ac:dyDescent="0.25">
      <c r="A86" s="17" t="s">
        <v>83</v>
      </c>
      <c r="B86" s="17">
        <v>4</v>
      </c>
      <c r="C86" s="17">
        <v>115</v>
      </c>
      <c r="D86" s="17" t="s">
        <v>583</v>
      </c>
      <c r="E86" s="17" t="s">
        <v>175</v>
      </c>
      <c r="F86" s="18" t="s">
        <v>71</v>
      </c>
      <c r="G86" s="17">
        <v>303</v>
      </c>
      <c r="H86" s="17">
        <v>10</v>
      </c>
      <c r="I86" s="45" t="s">
        <v>164</v>
      </c>
      <c r="J86" s="45">
        <v>5.0999999999999996</v>
      </c>
      <c r="K86" s="17">
        <v>1.74</v>
      </c>
      <c r="L86" s="43">
        <v>32.5</v>
      </c>
      <c r="M86" s="46" t="s">
        <v>516</v>
      </c>
      <c r="N86" s="17"/>
      <c r="O86" s="17"/>
      <c r="P86" s="54">
        <v>22</v>
      </c>
      <c r="Q86" s="1" t="s">
        <v>648</v>
      </c>
      <c r="R86" s="1" t="s">
        <v>813</v>
      </c>
      <c r="S86" s="1" t="s">
        <v>702</v>
      </c>
    </row>
    <row r="87" spans="1:24" hidden="1" x14ac:dyDescent="0.25">
      <c r="A87" s="32" t="s">
        <v>22</v>
      </c>
      <c r="B87" s="32">
        <v>4</v>
      </c>
      <c r="C87" s="32">
        <v>115</v>
      </c>
      <c r="D87" s="32" t="s">
        <v>433</v>
      </c>
      <c r="E87" s="32" t="s">
        <v>61</v>
      </c>
      <c r="F87" s="33" t="s">
        <v>30</v>
      </c>
      <c r="G87" s="43">
        <v>215</v>
      </c>
      <c r="H87" s="32" t="s">
        <v>126</v>
      </c>
      <c r="I87" s="32" t="s">
        <v>45</v>
      </c>
      <c r="J87" s="45">
        <v>4.5199999999999996</v>
      </c>
      <c r="K87" s="32">
        <v>1.62</v>
      </c>
      <c r="L87" s="32"/>
      <c r="M87" s="34"/>
      <c r="N87" s="32"/>
      <c r="O87" s="32"/>
      <c r="P87" s="32"/>
      <c r="Q87" s="1" t="s">
        <v>648</v>
      </c>
      <c r="R87" s="1" t="s">
        <v>813</v>
      </c>
      <c r="S87" s="1" t="s">
        <v>796</v>
      </c>
    </row>
    <row r="88" spans="1:24" hidden="1" x14ac:dyDescent="0.25">
      <c r="A88" s="20" t="s">
        <v>54</v>
      </c>
      <c r="B88" s="20">
        <v>4</v>
      </c>
      <c r="C88" s="20">
        <v>115</v>
      </c>
      <c r="D88" s="20" t="s">
        <v>569</v>
      </c>
      <c r="E88" s="20" t="s">
        <v>315</v>
      </c>
      <c r="F88" s="21" t="s">
        <v>570</v>
      </c>
      <c r="G88" s="20">
        <v>322</v>
      </c>
      <c r="H88" s="20" t="s">
        <v>116</v>
      </c>
      <c r="I88" s="43" t="s">
        <v>235</v>
      </c>
      <c r="J88" s="45">
        <v>5.16</v>
      </c>
      <c r="K88" s="20">
        <v>1.78</v>
      </c>
      <c r="L88" s="45">
        <v>30.5</v>
      </c>
      <c r="M88" s="22" t="s">
        <v>571</v>
      </c>
      <c r="N88" s="20"/>
      <c r="O88" s="20"/>
      <c r="P88" s="20"/>
      <c r="R88" s="1" t="s">
        <v>811</v>
      </c>
      <c r="S88" s="1" t="s">
        <v>831</v>
      </c>
    </row>
    <row r="89" spans="1:24" hidden="1" x14ac:dyDescent="0.25">
      <c r="A89" s="8" t="s">
        <v>27</v>
      </c>
      <c r="B89" s="8">
        <v>4</v>
      </c>
      <c r="C89" s="8">
        <v>115</v>
      </c>
      <c r="D89" s="8" t="s">
        <v>225</v>
      </c>
      <c r="E89" s="8" t="s">
        <v>130</v>
      </c>
      <c r="F89" s="9" t="s">
        <v>226</v>
      </c>
      <c r="G89" s="43">
        <v>220</v>
      </c>
      <c r="H89" s="8" t="s">
        <v>31</v>
      </c>
      <c r="I89" s="8" t="s">
        <v>227</v>
      </c>
      <c r="J89" s="8"/>
      <c r="K89" s="8"/>
      <c r="L89" s="8"/>
      <c r="M89" s="10"/>
      <c r="N89" s="8"/>
      <c r="O89" s="8"/>
      <c r="P89" s="8">
        <v>22</v>
      </c>
      <c r="Q89" s="1" t="s">
        <v>656</v>
      </c>
      <c r="R89" s="1" t="s">
        <v>812</v>
      </c>
      <c r="S89" s="1" t="s">
        <v>790</v>
      </c>
      <c r="T89" s="38">
        <v>758</v>
      </c>
      <c r="U89" s="1">
        <v>15</v>
      </c>
    </row>
    <row r="90" spans="1:24" hidden="1" x14ac:dyDescent="0.25">
      <c r="A90" s="26" t="s">
        <v>36</v>
      </c>
      <c r="B90" s="26">
        <v>4</v>
      </c>
      <c r="C90" s="26">
        <v>115</v>
      </c>
      <c r="D90" s="26" t="s">
        <v>542</v>
      </c>
      <c r="E90" s="26" t="s">
        <v>223</v>
      </c>
      <c r="F90" s="44" t="s">
        <v>107</v>
      </c>
      <c r="G90" s="26">
        <v>240</v>
      </c>
      <c r="H90" s="26" t="s">
        <v>108</v>
      </c>
      <c r="I90" s="43" t="s">
        <v>97</v>
      </c>
      <c r="J90" s="26">
        <v>4.6399999999999997</v>
      </c>
      <c r="K90" s="26">
        <v>1.61</v>
      </c>
      <c r="L90" s="45">
        <v>33</v>
      </c>
      <c r="M90" s="28" t="s">
        <v>98</v>
      </c>
      <c r="N90" s="26"/>
      <c r="O90" s="26"/>
      <c r="P90" s="26"/>
      <c r="Q90" s="1" t="s">
        <v>661</v>
      </c>
      <c r="S90" s="1" t="s">
        <v>850</v>
      </c>
    </row>
    <row r="91" spans="1:24" hidden="1" x14ac:dyDescent="0.25">
      <c r="A91" s="17" t="s">
        <v>83</v>
      </c>
      <c r="B91" s="17">
        <v>4</v>
      </c>
      <c r="C91" s="17">
        <v>118</v>
      </c>
      <c r="D91" s="17" t="s">
        <v>572</v>
      </c>
      <c r="E91" s="17" t="s">
        <v>309</v>
      </c>
      <c r="F91" s="18" t="s">
        <v>573</v>
      </c>
      <c r="G91" s="17">
        <v>312</v>
      </c>
      <c r="H91" s="17" t="s">
        <v>148</v>
      </c>
      <c r="I91" s="43" t="s">
        <v>235</v>
      </c>
      <c r="J91" s="43">
        <v>4.93</v>
      </c>
      <c r="K91" s="17">
        <v>1.75</v>
      </c>
      <c r="L91" s="17">
        <v>27</v>
      </c>
      <c r="M91" s="47" t="s">
        <v>181</v>
      </c>
      <c r="N91" s="17"/>
      <c r="O91" s="17"/>
      <c r="P91" s="54">
        <v>37</v>
      </c>
      <c r="R91" s="1" t="s">
        <v>813</v>
      </c>
      <c r="S91" s="1" t="s">
        <v>826</v>
      </c>
    </row>
    <row r="92" spans="1:24" hidden="1" x14ac:dyDescent="0.25">
      <c r="A92" s="17" t="s">
        <v>83</v>
      </c>
      <c r="B92" s="17">
        <v>4</v>
      </c>
      <c r="C92" s="17">
        <v>119</v>
      </c>
      <c r="D92" s="17" t="s">
        <v>482</v>
      </c>
      <c r="E92" s="17" t="s">
        <v>42</v>
      </c>
      <c r="F92" s="18" t="s">
        <v>119</v>
      </c>
      <c r="G92" s="17">
        <v>289</v>
      </c>
      <c r="H92" s="17" t="s">
        <v>39</v>
      </c>
      <c r="I92" s="17">
        <v>32</v>
      </c>
      <c r="J92" s="43">
        <v>4.95</v>
      </c>
      <c r="K92" s="17">
        <v>1.7</v>
      </c>
      <c r="L92" s="43">
        <v>32.5</v>
      </c>
      <c r="M92" s="46" t="s">
        <v>330</v>
      </c>
      <c r="N92" s="17"/>
      <c r="O92" s="17">
        <v>4.72</v>
      </c>
      <c r="P92" s="17"/>
      <c r="Q92" s="1" t="s">
        <v>656</v>
      </c>
      <c r="R92" s="1" t="s">
        <v>812</v>
      </c>
      <c r="S92" s="1" t="s">
        <v>675</v>
      </c>
    </row>
    <row r="93" spans="1:24" x14ac:dyDescent="0.25">
      <c r="A93" s="23" t="s">
        <v>834</v>
      </c>
      <c r="B93" s="23">
        <v>4</v>
      </c>
      <c r="C93" s="23">
        <v>120</v>
      </c>
      <c r="D93" s="23" t="s">
        <v>439</v>
      </c>
      <c r="E93" s="23" t="s">
        <v>42</v>
      </c>
      <c r="F93" s="24" t="s">
        <v>191</v>
      </c>
      <c r="G93" s="43">
        <v>327</v>
      </c>
      <c r="H93" s="23" t="s">
        <v>440</v>
      </c>
      <c r="I93" s="23" t="s">
        <v>441</v>
      </c>
      <c r="J93" s="23">
        <v>5.31</v>
      </c>
      <c r="K93" s="23">
        <v>1.84</v>
      </c>
      <c r="L93" s="45">
        <v>30</v>
      </c>
      <c r="M93" s="25" t="s">
        <v>149</v>
      </c>
      <c r="N93" s="23"/>
      <c r="O93" s="23"/>
      <c r="P93" s="23">
        <v>21</v>
      </c>
      <c r="Q93" s="1" t="s">
        <v>648</v>
      </c>
      <c r="R93" s="1" t="s">
        <v>813</v>
      </c>
      <c r="S93" s="1" t="s">
        <v>841</v>
      </c>
    </row>
    <row r="94" spans="1:24" hidden="1" x14ac:dyDescent="0.25">
      <c r="A94" s="35" t="s">
        <v>59</v>
      </c>
      <c r="B94" s="35">
        <v>4</v>
      </c>
      <c r="C94" s="35">
        <v>120</v>
      </c>
      <c r="D94" s="35" t="s">
        <v>447</v>
      </c>
      <c r="E94" s="35" t="s">
        <v>115</v>
      </c>
      <c r="F94" s="44" t="s">
        <v>191</v>
      </c>
      <c r="G94" s="35">
        <v>179</v>
      </c>
      <c r="H94" s="35" t="s">
        <v>256</v>
      </c>
      <c r="I94" s="45" t="s">
        <v>215</v>
      </c>
      <c r="J94" s="45">
        <v>4.46</v>
      </c>
      <c r="K94" s="35">
        <v>1.57</v>
      </c>
      <c r="L94" s="35">
        <v>31.5</v>
      </c>
      <c r="M94" s="37" t="s">
        <v>254</v>
      </c>
      <c r="N94" s="35"/>
      <c r="O94" s="35"/>
      <c r="P94" s="35"/>
      <c r="Q94" s="1" t="s">
        <v>648</v>
      </c>
      <c r="R94" s="1" t="s">
        <v>812</v>
      </c>
      <c r="S94" s="1" t="s">
        <v>657</v>
      </c>
      <c r="W94" s="1">
        <v>5</v>
      </c>
      <c r="X94" s="1">
        <v>13</v>
      </c>
    </row>
    <row r="95" spans="1:24" hidden="1" x14ac:dyDescent="0.25">
      <c r="A95" s="14" t="s">
        <v>99</v>
      </c>
      <c r="B95" s="14">
        <v>4</v>
      </c>
      <c r="C95" s="14">
        <v>120</v>
      </c>
      <c r="D95" s="14" t="s">
        <v>285</v>
      </c>
      <c r="E95" s="14" t="s">
        <v>115</v>
      </c>
      <c r="F95" s="44" t="s">
        <v>71</v>
      </c>
      <c r="G95" s="45">
        <v>245</v>
      </c>
      <c r="H95" s="45" t="s">
        <v>20</v>
      </c>
      <c r="I95" s="14" t="s">
        <v>286</v>
      </c>
      <c r="J95" s="60">
        <v>4.49</v>
      </c>
      <c r="K95" s="60"/>
      <c r="L95" s="58">
        <v>38</v>
      </c>
      <c r="M95" s="63">
        <v>46300</v>
      </c>
      <c r="N95" s="60"/>
      <c r="O95" s="60"/>
      <c r="P95" s="60">
        <v>23</v>
      </c>
      <c r="Q95" s="1" t="s">
        <v>661</v>
      </c>
      <c r="R95" s="1" t="s">
        <v>812</v>
      </c>
      <c r="S95" s="1" t="s">
        <v>662</v>
      </c>
      <c r="T95" s="38">
        <v>248</v>
      </c>
      <c r="U95" s="1">
        <v>4</v>
      </c>
    </row>
    <row r="96" spans="1:24" hidden="1" x14ac:dyDescent="0.25">
      <c r="A96" s="11" t="s">
        <v>32</v>
      </c>
      <c r="B96" s="11">
        <v>4</v>
      </c>
      <c r="C96" s="11">
        <v>120</v>
      </c>
      <c r="D96" s="11" t="s">
        <v>216</v>
      </c>
      <c r="E96" s="11" t="s">
        <v>66</v>
      </c>
      <c r="F96" s="12" t="s">
        <v>217</v>
      </c>
      <c r="G96" s="45">
        <v>187</v>
      </c>
      <c r="H96" s="45" t="s">
        <v>126</v>
      </c>
      <c r="I96" s="11" t="s">
        <v>141</v>
      </c>
      <c r="J96" s="43">
        <v>4.41</v>
      </c>
      <c r="K96" s="11">
        <v>1.55</v>
      </c>
      <c r="L96" s="43">
        <v>39.5</v>
      </c>
      <c r="M96" s="13" t="s">
        <v>199</v>
      </c>
      <c r="N96" s="58">
        <v>6.76</v>
      </c>
      <c r="O96" s="58">
        <v>4.0999999999999996</v>
      </c>
      <c r="P96" s="11"/>
      <c r="Q96" s="1" t="s">
        <v>648</v>
      </c>
      <c r="R96" s="1" t="s">
        <v>811</v>
      </c>
      <c r="S96" s="1" t="s">
        <v>708</v>
      </c>
      <c r="T96" s="38">
        <v>604</v>
      </c>
      <c r="U96" s="1">
        <v>4</v>
      </c>
    </row>
    <row r="97" spans="1:24" hidden="1" x14ac:dyDescent="0.25">
      <c r="A97" s="3" t="s">
        <v>16</v>
      </c>
      <c r="B97" s="3">
        <v>4</v>
      </c>
      <c r="C97" s="3">
        <v>120</v>
      </c>
      <c r="D97" s="3" t="s">
        <v>322</v>
      </c>
      <c r="E97" s="3" t="s">
        <v>323</v>
      </c>
      <c r="F97" s="42" t="s">
        <v>324</v>
      </c>
      <c r="G97" s="3">
        <v>232</v>
      </c>
      <c r="H97" s="43" t="s">
        <v>48</v>
      </c>
      <c r="I97" s="3" t="s">
        <v>286</v>
      </c>
      <c r="J97" s="3">
        <v>4.5599999999999996</v>
      </c>
      <c r="K97" s="3">
        <v>1.55</v>
      </c>
      <c r="L97" s="3">
        <v>40</v>
      </c>
      <c r="M97" s="7" t="s">
        <v>325</v>
      </c>
      <c r="N97" s="3">
        <v>7.12</v>
      </c>
      <c r="O97" s="3">
        <v>4.3600000000000003</v>
      </c>
      <c r="P97" s="3"/>
      <c r="T97" s="38">
        <v>2719</v>
      </c>
      <c r="U97" s="1">
        <v>16</v>
      </c>
    </row>
    <row r="98" spans="1:24" hidden="1" x14ac:dyDescent="0.25">
      <c r="A98" s="20" t="s">
        <v>54</v>
      </c>
      <c r="B98" s="20">
        <v>4</v>
      </c>
      <c r="C98" s="20">
        <v>120</v>
      </c>
      <c r="D98" s="20" t="s">
        <v>640</v>
      </c>
      <c r="E98" s="20" t="s">
        <v>546</v>
      </c>
      <c r="F98" s="44" t="s">
        <v>641</v>
      </c>
      <c r="G98" s="20">
        <v>323</v>
      </c>
      <c r="H98" s="20">
        <v>9</v>
      </c>
      <c r="I98" s="20" t="s">
        <v>123</v>
      </c>
      <c r="J98" s="20"/>
      <c r="K98" s="20"/>
      <c r="L98" s="43">
        <v>35.5</v>
      </c>
      <c r="M98" s="47" t="s">
        <v>93</v>
      </c>
      <c r="N98" s="55">
        <v>8.08</v>
      </c>
      <c r="O98" s="72">
        <v>4.71</v>
      </c>
      <c r="P98" s="20"/>
      <c r="R98" s="1" t="s">
        <v>812</v>
      </c>
      <c r="S98" s="1" t="s">
        <v>833</v>
      </c>
    </row>
    <row r="99" spans="1:24" hidden="1" x14ac:dyDescent="0.25">
      <c r="A99" s="26" t="s">
        <v>36</v>
      </c>
      <c r="B99" s="26">
        <v>4</v>
      </c>
      <c r="C99" s="26">
        <v>120</v>
      </c>
      <c r="D99" s="26" t="s">
        <v>561</v>
      </c>
      <c r="E99" s="26" t="s">
        <v>223</v>
      </c>
      <c r="F99" s="44" t="s">
        <v>151</v>
      </c>
      <c r="G99" s="43">
        <v>255</v>
      </c>
      <c r="H99" s="26" t="s">
        <v>52</v>
      </c>
      <c r="I99" s="43" t="s">
        <v>135</v>
      </c>
      <c r="J99" s="26"/>
      <c r="K99" s="26"/>
      <c r="L99" s="59">
        <v>30</v>
      </c>
      <c r="M99" s="65">
        <v>46272</v>
      </c>
      <c r="N99" s="26"/>
      <c r="O99" s="26"/>
      <c r="P99" s="26"/>
      <c r="Q99" s="1" t="s">
        <v>656</v>
      </c>
      <c r="R99" s="1" t="s">
        <v>812</v>
      </c>
      <c r="S99" s="1" t="s">
        <v>854</v>
      </c>
    </row>
    <row r="100" spans="1:24" hidden="1" x14ac:dyDescent="0.25">
      <c r="A100" s="17" t="s">
        <v>83</v>
      </c>
      <c r="B100" s="17">
        <v>4</v>
      </c>
      <c r="C100" s="17">
        <v>121</v>
      </c>
      <c r="D100" s="17" t="s">
        <v>630</v>
      </c>
      <c r="E100" s="17" t="s">
        <v>138</v>
      </c>
      <c r="F100" s="18" t="s">
        <v>631</v>
      </c>
      <c r="G100" s="17">
        <v>312</v>
      </c>
      <c r="H100" s="17">
        <v>10</v>
      </c>
      <c r="I100" s="45" t="s">
        <v>40</v>
      </c>
      <c r="J100" s="17"/>
      <c r="K100" s="17"/>
      <c r="L100" s="17"/>
      <c r="M100" s="19"/>
      <c r="N100" s="17"/>
      <c r="O100" s="17"/>
      <c r="P100" s="17"/>
      <c r="Q100" s="1" t="s">
        <v>648</v>
      </c>
      <c r="R100" s="1" t="s">
        <v>813</v>
      </c>
      <c r="S100" s="1" t="s">
        <v>824</v>
      </c>
    </row>
    <row r="101" spans="1:24" hidden="1" x14ac:dyDescent="0.25">
      <c r="A101" s="26" t="s">
        <v>36</v>
      </c>
      <c r="B101" s="26">
        <v>4</v>
      </c>
      <c r="C101" s="26">
        <v>122</v>
      </c>
      <c r="D101" s="26" t="s">
        <v>506</v>
      </c>
      <c r="E101" s="26" t="s">
        <v>279</v>
      </c>
      <c r="F101" s="27" t="s">
        <v>47</v>
      </c>
      <c r="G101" s="26">
        <v>241</v>
      </c>
      <c r="H101" s="26" t="s">
        <v>507</v>
      </c>
      <c r="I101" s="26" t="s">
        <v>426</v>
      </c>
      <c r="J101" s="26">
        <v>4.67</v>
      </c>
      <c r="K101" s="26">
        <v>1.63</v>
      </c>
      <c r="L101" s="72">
        <v>34</v>
      </c>
      <c r="M101" s="65">
        <v>46276</v>
      </c>
      <c r="N101" s="59">
        <v>7.4</v>
      </c>
      <c r="O101" s="26"/>
      <c r="P101" s="26"/>
      <c r="Q101" s="1" t="s">
        <v>661</v>
      </c>
      <c r="R101" s="1" t="s">
        <v>813</v>
      </c>
      <c r="S101" s="1" t="s">
        <v>851</v>
      </c>
    </row>
    <row r="102" spans="1:24" hidden="1" x14ac:dyDescent="0.25">
      <c r="A102" s="11" t="s">
        <v>32</v>
      </c>
      <c r="B102" s="11">
        <v>4</v>
      </c>
      <c r="C102" s="11">
        <v>123</v>
      </c>
      <c r="D102" s="11" t="s">
        <v>182</v>
      </c>
      <c r="E102" s="11" t="s">
        <v>42</v>
      </c>
      <c r="F102" s="42" t="s">
        <v>183</v>
      </c>
      <c r="G102" s="43">
        <v>206</v>
      </c>
      <c r="H102" s="43" t="s">
        <v>158</v>
      </c>
      <c r="I102" s="11" t="s">
        <v>120</v>
      </c>
      <c r="J102" s="45">
        <v>4.45</v>
      </c>
      <c r="K102" s="11">
        <v>1.52</v>
      </c>
      <c r="L102" s="11">
        <v>32.5</v>
      </c>
      <c r="M102" s="13" t="s">
        <v>146</v>
      </c>
      <c r="N102" s="43">
        <v>6.71</v>
      </c>
      <c r="O102" s="45">
        <v>4.3099999999999996</v>
      </c>
      <c r="P102" s="11"/>
      <c r="Q102" s="1" t="s">
        <v>656</v>
      </c>
      <c r="R102" s="1" t="s">
        <v>812</v>
      </c>
      <c r="S102" s="1" t="s">
        <v>677</v>
      </c>
      <c r="T102" s="38">
        <v>862</v>
      </c>
      <c r="U102" s="1">
        <v>7</v>
      </c>
    </row>
    <row r="103" spans="1:24" hidden="1" x14ac:dyDescent="0.25">
      <c r="A103" s="26" t="s">
        <v>36</v>
      </c>
      <c r="B103" s="26">
        <v>4</v>
      </c>
      <c r="C103" s="26">
        <v>124</v>
      </c>
      <c r="D103" s="26" t="s">
        <v>560</v>
      </c>
      <c r="E103" s="26" t="s">
        <v>162</v>
      </c>
      <c r="F103" s="44" t="s">
        <v>151</v>
      </c>
      <c r="G103" s="45">
        <v>253</v>
      </c>
      <c r="H103" s="26">
        <v>9</v>
      </c>
      <c r="I103" s="26">
        <v>32</v>
      </c>
      <c r="J103" s="26"/>
      <c r="K103" s="26"/>
      <c r="L103" s="26"/>
      <c r="M103" s="28"/>
      <c r="N103" s="26"/>
      <c r="O103" s="26"/>
      <c r="P103" s="26"/>
      <c r="R103" s="1" t="s">
        <v>813</v>
      </c>
      <c r="S103" s="1" t="s">
        <v>849</v>
      </c>
    </row>
    <row r="104" spans="1:24" x14ac:dyDescent="0.25">
      <c r="A104" s="23" t="s">
        <v>834</v>
      </c>
      <c r="B104" s="23">
        <v>4</v>
      </c>
      <c r="C104" s="23">
        <v>125</v>
      </c>
      <c r="D104" s="23" t="s">
        <v>534</v>
      </c>
      <c r="E104" s="23" t="s">
        <v>282</v>
      </c>
      <c r="F104" s="42" t="s">
        <v>327</v>
      </c>
      <c r="G104" s="43">
        <v>307</v>
      </c>
      <c r="H104" s="23" t="s">
        <v>148</v>
      </c>
      <c r="I104" s="45" t="s">
        <v>164</v>
      </c>
      <c r="J104" s="23">
        <v>5.12</v>
      </c>
      <c r="K104" s="23">
        <v>1.78</v>
      </c>
      <c r="L104" s="23"/>
      <c r="M104" s="25"/>
      <c r="N104" s="23"/>
      <c r="O104" s="23"/>
      <c r="P104" s="43">
        <v>37</v>
      </c>
      <c r="Q104" s="1" t="s">
        <v>648</v>
      </c>
      <c r="R104" s="1" t="s">
        <v>812</v>
      </c>
      <c r="S104" s="1" t="s">
        <v>835</v>
      </c>
    </row>
    <row r="105" spans="1:24" hidden="1" x14ac:dyDescent="0.25">
      <c r="A105" s="35" t="s">
        <v>59</v>
      </c>
      <c r="B105" s="35">
        <v>4</v>
      </c>
      <c r="C105" s="35">
        <v>125</v>
      </c>
      <c r="D105" s="35" t="s">
        <v>539</v>
      </c>
      <c r="E105" s="35" t="s">
        <v>130</v>
      </c>
      <c r="F105" s="44" t="s">
        <v>332</v>
      </c>
      <c r="G105" s="45">
        <v>193</v>
      </c>
      <c r="H105" s="35" t="s">
        <v>158</v>
      </c>
      <c r="I105" s="45" t="s">
        <v>141</v>
      </c>
      <c r="J105" s="43">
        <v>4.4000000000000004</v>
      </c>
      <c r="K105" s="35">
        <v>1.54</v>
      </c>
      <c r="L105" s="43">
        <v>38</v>
      </c>
      <c r="M105" s="37" t="s">
        <v>288</v>
      </c>
      <c r="N105" s="58">
        <v>6.82</v>
      </c>
      <c r="O105" s="58">
        <v>4.1500000000000004</v>
      </c>
      <c r="P105" s="35">
        <v>17</v>
      </c>
      <c r="Q105" s="1" t="s">
        <v>648</v>
      </c>
      <c r="R105" s="1" t="s">
        <v>811</v>
      </c>
      <c r="S105" s="1" t="s">
        <v>809</v>
      </c>
      <c r="W105" s="1">
        <v>4</v>
      </c>
      <c r="X105" s="1">
        <v>9</v>
      </c>
    </row>
    <row r="106" spans="1:24" hidden="1" x14ac:dyDescent="0.25">
      <c r="A106" s="11" t="s">
        <v>32</v>
      </c>
      <c r="B106" s="11">
        <v>4</v>
      </c>
      <c r="C106" s="11">
        <v>125</v>
      </c>
      <c r="D106" s="11" t="s">
        <v>250</v>
      </c>
      <c r="E106" s="11" t="s">
        <v>75</v>
      </c>
      <c r="F106" s="44" t="s">
        <v>155</v>
      </c>
      <c r="G106" s="43">
        <v>200</v>
      </c>
      <c r="H106" s="43" t="s">
        <v>202</v>
      </c>
      <c r="I106" s="11" t="s">
        <v>195</v>
      </c>
      <c r="J106" s="45">
        <v>4.47</v>
      </c>
      <c r="K106" s="11">
        <v>1.58</v>
      </c>
      <c r="L106" s="43">
        <v>40</v>
      </c>
      <c r="M106" s="13" t="s">
        <v>110</v>
      </c>
      <c r="N106" s="11"/>
      <c r="O106" s="11"/>
      <c r="P106" s="11"/>
      <c r="R106" s="1" t="s">
        <v>812</v>
      </c>
      <c r="T106" s="38">
        <v>745</v>
      </c>
      <c r="U106" s="1">
        <v>4</v>
      </c>
    </row>
    <row r="107" spans="1:24" hidden="1" x14ac:dyDescent="0.25">
      <c r="A107" s="17" t="s">
        <v>83</v>
      </c>
      <c r="B107" s="17">
        <v>4</v>
      </c>
      <c r="C107" s="17">
        <v>125</v>
      </c>
      <c r="D107" s="17" t="s">
        <v>610</v>
      </c>
      <c r="E107" s="17" t="s">
        <v>95</v>
      </c>
      <c r="F107" s="18" t="s">
        <v>170</v>
      </c>
      <c r="G107" s="17">
        <v>309</v>
      </c>
      <c r="H107" s="17">
        <v>10</v>
      </c>
      <c r="I107" s="45" t="s">
        <v>72</v>
      </c>
      <c r="J107" s="45">
        <v>5.14</v>
      </c>
      <c r="K107" s="17">
        <v>1.78</v>
      </c>
      <c r="L107" s="17"/>
      <c r="M107" s="47" t="s">
        <v>181</v>
      </c>
      <c r="N107" s="17"/>
      <c r="O107" s="17">
        <v>4.8</v>
      </c>
      <c r="P107" s="17"/>
      <c r="R107" s="1" t="s">
        <v>813</v>
      </c>
    </row>
    <row r="108" spans="1:24" hidden="1" x14ac:dyDescent="0.25">
      <c r="A108" s="26" t="s">
        <v>36</v>
      </c>
      <c r="B108" s="26">
        <v>4</v>
      </c>
      <c r="C108" s="26">
        <v>126</v>
      </c>
      <c r="D108" s="26" t="s">
        <v>598</v>
      </c>
      <c r="E108" s="26" t="s">
        <v>279</v>
      </c>
      <c r="F108" s="44" t="s">
        <v>71</v>
      </c>
      <c r="G108" s="45">
        <v>245</v>
      </c>
      <c r="H108" s="26" t="s">
        <v>148</v>
      </c>
      <c r="I108" s="43" t="s">
        <v>274</v>
      </c>
      <c r="J108" s="26">
        <v>4.6900000000000004</v>
      </c>
      <c r="K108" s="26">
        <v>1.65</v>
      </c>
      <c r="L108" s="45">
        <v>34.5</v>
      </c>
      <c r="M108" s="28"/>
      <c r="N108" s="59">
        <v>7.44</v>
      </c>
      <c r="O108" s="72">
        <v>4.42</v>
      </c>
      <c r="P108" s="26"/>
      <c r="Q108" s="1" t="s">
        <v>648</v>
      </c>
      <c r="R108" s="1" t="s">
        <v>812</v>
      </c>
      <c r="S108" s="1" t="s">
        <v>765</v>
      </c>
    </row>
    <row r="109" spans="1:24" x14ac:dyDescent="0.25">
      <c r="A109" s="23" t="s">
        <v>834</v>
      </c>
      <c r="B109" s="23">
        <v>4</v>
      </c>
      <c r="C109" s="23">
        <v>130</v>
      </c>
      <c r="D109" s="23" t="s">
        <v>548</v>
      </c>
      <c r="E109" s="23" t="s">
        <v>185</v>
      </c>
      <c r="F109" s="44" t="s">
        <v>151</v>
      </c>
      <c r="G109" s="43">
        <v>313</v>
      </c>
      <c r="H109" s="23">
        <v>11</v>
      </c>
      <c r="I109" s="23">
        <v>34</v>
      </c>
      <c r="J109" s="45">
        <v>5.05</v>
      </c>
      <c r="K109" s="23">
        <v>1.8</v>
      </c>
      <c r="L109" s="45">
        <v>29.5</v>
      </c>
      <c r="M109" s="25" t="s">
        <v>181</v>
      </c>
      <c r="N109" s="66">
        <v>8.18</v>
      </c>
      <c r="O109" s="66">
        <v>5</v>
      </c>
      <c r="P109" s="23">
        <v>25</v>
      </c>
      <c r="R109" s="1" t="s">
        <v>811</v>
      </c>
      <c r="S109" s="1" t="s">
        <v>848</v>
      </c>
    </row>
    <row r="110" spans="1:24" hidden="1" x14ac:dyDescent="0.25">
      <c r="A110" s="8" t="s">
        <v>27</v>
      </c>
      <c r="B110" s="8">
        <v>4</v>
      </c>
      <c r="C110" s="8">
        <v>130</v>
      </c>
      <c r="D110" s="8" t="s">
        <v>241</v>
      </c>
      <c r="E110" s="8" t="s">
        <v>85</v>
      </c>
      <c r="F110" s="9" t="s">
        <v>30</v>
      </c>
      <c r="G110" s="43">
        <v>219</v>
      </c>
      <c r="H110" s="8" t="s">
        <v>44</v>
      </c>
      <c r="I110" s="8">
        <v>31</v>
      </c>
      <c r="J110" s="8"/>
      <c r="K110" s="8"/>
      <c r="L110" s="8"/>
      <c r="M110" s="10"/>
      <c r="N110" s="8"/>
      <c r="O110" s="8"/>
      <c r="P110" s="57">
        <v>25</v>
      </c>
      <c r="Q110" s="1" t="s">
        <v>648</v>
      </c>
      <c r="R110" s="1" t="s">
        <v>812</v>
      </c>
      <c r="S110" s="1" t="s">
        <v>714</v>
      </c>
      <c r="T110" s="38">
        <v>549</v>
      </c>
      <c r="U110" s="1">
        <v>13</v>
      </c>
    </row>
    <row r="111" spans="1:24" hidden="1" x14ac:dyDescent="0.25">
      <c r="A111" s="3" t="s">
        <v>16</v>
      </c>
      <c r="B111" s="3">
        <v>4</v>
      </c>
      <c r="C111" s="3">
        <v>130</v>
      </c>
      <c r="D111" s="3" t="s">
        <v>118</v>
      </c>
      <c r="E111" s="3" t="s">
        <v>61</v>
      </c>
      <c r="F111" s="42" t="s">
        <v>119</v>
      </c>
      <c r="G111" s="3">
        <v>203</v>
      </c>
      <c r="H111" s="45" t="s">
        <v>31</v>
      </c>
      <c r="I111" s="3" t="s">
        <v>120</v>
      </c>
      <c r="J111" s="3"/>
      <c r="K111" s="3"/>
      <c r="L111" s="3"/>
      <c r="M111" s="7"/>
      <c r="N111" s="3"/>
      <c r="O111" s="3"/>
      <c r="P111" s="3"/>
      <c r="T111" s="38">
        <v>1927</v>
      </c>
      <c r="U111" s="1">
        <v>12</v>
      </c>
    </row>
    <row r="112" spans="1:24" hidden="1" x14ac:dyDescent="0.25">
      <c r="A112" s="14" t="s">
        <v>99</v>
      </c>
      <c r="B112" s="14">
        <v>4</v>
      </c>
      <c r="C112" s="14">
        <v>130</v>
      </c>
      <c r="D112" s="14" t="s">
        <v>200</v>
      </c>
      <c r="E112" s="14" t="s">
        <v>201</v>
      </c>
      <c r="F112" s="15" t="s">
        <v>194</v>
      </c>
      <c r="G112" s="14">
        <v>240</v>
      </c>
      <c r="H112" s="43" t="s">
        <v>202</v>
      </c>
      <c r="I112" s="43" t="s">
        <v>203</v>
      </c>
      <c r="J112" s="14"/>
      <c r="K112" s="14"/>
      <c r="L112" s="60">
        <v>27.5</v>
      </c>
      <c r="M112" s="16"/>
      <c r="N112" s="14"/>
      <c r="O112" s="14"/>
      <c r="P112" s="14"/>
      <c r="R112" s="1" t="s">
        <v>813</v>
      </c>
      <c r="S112" s="1" t="s">
        <v>727</v>
      </c>
      <c r="T112" s="38">
        <v>694</v>
      </c>
      <c r="U112" s="1">
        <v>6</v>
      </c>
    </row>
    <row r="113" spans="1:21" hidden="1" x14ac:dyDescent="0.25">
      <c r="A113" s="35" t="s">
        <v>59</v>
      </c>
      <c r="B113" s="35">
        <v>4</v>
      </c>
      <c r="C113" s="35">
        <v>130</v>
      </c>
      <c r="D113" s="35" t="s">
        <v>405</v>
      </c>
      <c r="E113" s="35" t="s">
        <v>101</v>
      </c>
      <c r="F113" s="36" t="s">
        <v>404</v>
      </c>
      <c r="G113" s="35">
        <v>188</v>
      </c>
      <c r="H113" s="35">
        <v>9</v>
      </c>
      <c r="I113" s="45" t="s">
        <v>82</v>
      </c>
      <c r="J113" s="72">
        <v>4.47</v>
      </c>
      <c r="K113" s="48"/>
      <c r="L113" s="58">
        <v>37.5</v>
      </c>
      <c r="M113" s="70">
        <v>46302</v>
      </c>
      <c r="N113" s="48"/>
      <c r="O113" s="58">
        <v>4.21</v>
      </c>
      <c r="P113" s="35">
        <v>14</v>
      </c>
      <c r="Q113" s="1" t="s">
        <v>648</v>
      </c>
      <c r="R113" s="1" t="s">
        <v>812</v>
      </c>
      <c r="S113" s="1" t="s">
        <v>802</v>
      </c>
    </row>
    <row r="114" spans="1:21" x14ac:dyDescent="0.25">
      <c r="A114" s="23" t="s">
        <v>834</v>
      </c>
      <c r="B114" s="23">
        <v>4</v>
      </c>
      <c r="C114" s="23">
        <v>132</v>
      </c>
      <c r="D114" s="23" t="s">
        <v>147</v>
      </c>
      <c r="E114" s="23" t="s">
        <v>106</v>
      </c>
      <c r="F114" s="44" t="s">
        <v>107</v>
      </c>
      <c r="G114" s="43">
        <v>318</v>
      </c>
      <c r="H114" s="23" t="s">
        <v>148</v>
      </c>
      <c r="I114" s="43" t="s">
        <v>58</v>
      </c>
      <c r="J114" s="23">
        <v>5.18</v>
      </c>
      <c r="K114" s="23">
        <v>1.79</v>
      </c>
      <c r="L114" s="23">
        <v>21.5</v>
      </c>
      <c r="M114" s="25" t="s">
        <v>149</v>
      </c>
      <c r="N114" s="23"/>
      <c r="O114" s="23"/>
      <c r="P114" s="23"/>
      <c r="Q114" s="1" t="s">
        <v>656</v>
      </c>
      <c r="R114" s="1" t="s">
        <v>813</v>
      </c>
      <c r="S114" s="1" t="s">
        <v>857</v>
      </c>
    </row>
    <row r="115" spans="1:21" hidden="1" x14ac:dyDescent="0.25">
      <c r="A115" s="35" t="s">
        <v>59</v>
      </c>
      <c r="B115" s="35">
        <v>4</v>
      </c>
      <c r="C115" s="35">
        <v>132</v>
      </c>
      <c r="D115" s="35" t="s">
        <v>431</v>
      </c>
      <c r="E115" s="35" t="s">
        <v>252</v>
      </c>
      <c r="F115" s="42" t="s">
        <v>30</v>
      </c>
      <c r="G115" s="45">
        <v>196</v>
      </c>
      <c r="H115" s="35" t="s">
        <v>132</v>
      </c>
      <c r="I115" s="43" t="s">
        <v>21</v>
      </c>
      <c r="J115" s="43">
        <v>4.38</v>
      </c>
      <c r="K115" s="35">
        <v>1.54</v>
      </c>
      <c r="L115" s="43">
        <v>37.5</v>
      </c>
      <c r="M115" s="37" t="s">
        <v>199</v>
      </c>
      <c r="N115" s="35"/>
      <c r="O115" s="35"/>
      <c r="P115" s="35"/>
      <c r="Q115" s="1" t="s">
        <v>648</v>
      </c>
      <c r="S115" s="1" t="s">
        <v>719</v>
      </c>
    </row>
    <row r="116" spans="1:21" x14ac:dyDescent="0.25">
      <c r="A116" s="23" t="s">
        <v>834</v>
      </c>
      <c r="B116" s="23">
        <v>4</v>
      </c>
      <c r="C116" s="23">
        <v>134</v>
      </c>
      <c r="D116" s="23" t="s">
        <v>442</v>
      </c>
      <c r="E116" s="23" t="s">
        <v>85</v>
      </c>
      <c r="F116" s="24" t="s">
        <v>191</v>
      </c>
      <c r="G116" s="23">
        <v>290</v>
      </c>
      <c r="H116" s="23" t="s">
        <v>57</v>
      </c>
      <c r="I116" s="45" t="s">
        <v>168</v>
      </c>
      <c r="J116" s="43">
        <v>4.75</v>
      </c>
      <c r="K116" s="23">
        <v>1.66</v>
      </c>
      <c r="L116" s="43">
        <v>33.5</v>
      </c>
      <c r="M116" s="25" t="s">
        <v>443</v>
      </c>
      <c r="N116" s="23"/>
      <c r="O116" s="23"/>
      <c r="P116" s="23"/>
      <c r="Q116" s="1" t="s">
        <v>648</v>
      </c>
      <c r="R116" s="1" t="s">
        <v>811</v>
      </c>
      <c r="S116" s="1" t="s">
        <v>842</v>
      </c>
    </row>
    <row r="117" spans="1:21" hidden="1" x14ac:dyDescent="0.25">
      <c r="A117" s="8" t="s">
        <v>27</v>
      </c>
      <c r="B117" s="8">
        <v>4</v>
      </c>
      <c r="C117" s="8">
        <v>135</v>
      </c>
      <c r="D117" s="8" t="s">
        <v>308</v>
      </c>
      <c r="E117" s="8" t="s">
        <v>309</v>
      </c>
      <c r="F117" s="9" t="s">
        <v>310</v>
      </c>
      <c r="G117" s="43">
        <v>223</v>
      </c>
      <c r="H117" s="8" t="s">
        <v>77</v>
      </c>
      <c r="I117" s="8" t="s">
        <v>145</v>
      </c>
      <c r="J117" s="43">
        <v>4.49</v>
      </c>
      <c r="K117" s="8">
        <v>1.6</v>
      </c>
      <c r="L117" s="43">
        <v>42.5</v>
      </c>
      <c r="M117" s="10" t="s">
        <v>142</v>
      </c>
      <c r="N117" s="8"/>
      <c r="O117" s="72">
        <v>4.4000000000000004</v>
      </c>
      <c r="P117" s="8"/>
      <c r="R117" s="1" t="s">
        <v>811</v>
      </c>
      <c r="T117" s="38">
        <v>725</v>
      </c>
      <c r="U117" s="1">
        <v>12</v>
      </c>
    </row>
    <row r="118" spans="1:21" hidden="1" x14ac:dyDescent="0.25">
      <c r="A118" s="35" t="s">
        <v>59</v>
      </c>
      <c r="B118" s="35">
        <v>4</v>
      </c>
      <c r="C118" s="35">
        <v>135</v>
      </c>
      <c r="D118" s="35" t="s">
        <v>421</v>
      </c>
      <c r="E118" s="35" t="s">
        <v>95</v>
      </c>
      <c r="F118" s="36" t="s">
        <v>422</v>
      </c>
      <c r="G118" s="45">
        <v>194</v>
      </c>
      <c r="H118" s="35" t="s">
        <v>31</v>
      </c>
      <c r="I118" s="45" t="s">
        <v>215</v>
      </c>
      <c r="J118" s="43">
        <v>4.41</v>
      </c>
      <c r="K118" s="35">
        <v>1.58</v>
      </c>
      <c r="L118" s="35"/>
      <c r="M118" s="37"/>
      <c r="N118" s="35"/>
      <c r="O118" s="35"/>
      <c r="P118" s="35"/>
      <c r="Q118" s="1" t="s">
        <v>648</v>
      </c>
    </row>
    <row r="119" spans="1:21" hidden="1" x14ac:dyDescent="0.25">
      <c r="A119" s="35" t="s">
        <v>59</v>
      </c>
      <c r="B119" s="35">
        <v>4</v>
      </c>
      <c r="C119" s="35">
        <v>138</v>
      </c>
      <c r="D119" s="35" t="s">
        <v>493</v>
      </c>
      <c r="E119" s="35" t="s">
        <v>246</v>
      </c>
      <c r="F119" s="44" t="s">
        <v>119</v>
      </c>
      <c r="G119" s="45">
        <v>195</v>
      </c>
      <c r="H119" s="35">
        <v>10</v>
      </c>
      <c r="I119" s="45" t="s">
        <v>215</v>
      </c>
      <c r="J119" s="35"/>
      <c r="K119" s="35"/>
      <c r="L119" s="43">
        <v>39.5</v>
      </c>
      <c r="M119" s="37" t="s">
        <v>146</v>
      </c>
      <c r="N119" s="43">
        <v>6.9</v>
      </c>
      <c r="O119" s="45">
        <v>4.29</v>
      </c>
      <c r="P119" s="35"/>
      <c r="Q119" s="1" t="s">
        <v>648</v>
      </c>
      <c r="S119" s="1" t="s">
        <v>756</v>
      </c>
    </row>
    <row r="120" spans="1:21" x14ac:dyDescent="0.25">
      <c r="A120" s="23" t="s">
        <v>834</v>
      </c>
      <c r="B120" s="23">
        <v>4</v>
      </c>
      <c r="C120" s="23">
        <v>140</v>
      </c>
      <c r="D120" s="23" t="s">
        <v>512</v>
      </c>
      <c r="E120" s="23" t="s">
        <v>279</v>
      </c>
      <c r="F120" s="42" t="s">
        <v>324</v>
      </c>
      <c r="G120" s="23">
        <v>293</v>
      </c>
      <c r="H120" s="23">
        <v>10</v>
      </c>
      <c r="I120" s="23" t="s">
        <v>467</v>
      </c>
      <c r="J120" s="43">
        <v>4.82</v>
      </c>
      <c r="K120" s="23">
        <v>1.7</v>
      </c>
      <c r="L120" s="43">
        <v>36.5</v>
      </c>
      <c r="M120" s="25" t="s">
        <v>178</v>
      </c>
      <c r="N120" s="23">
        <v>8.09</v>
      </c>
      <c r="O120" s="45">
        <v>4.79</v>
      </c>
      <c r="P120" s="66">
        <v>25</v>
      </c>
      <c r="Q120" s="1" t="s">
        <v>661</v>
      </c>
      <c r="R120" s="1" t="s">
        <v>811</v>
      </c>
      <c r="S120" s="1" t="s">
        <v>844</v>
      </c>
    </row>
    <row r="121" spans="1:21" x14ac:dyDescent="0.25">
      <c r="A121" s="23" t="s">
        <v>834</v>
      </c>
      <c r="B121" s="23">
        <v>4</v>
      </c>
      <c r="C121" s="23">
        <v>143</v>
      </c>
      <c r="D121" s="23" t="s">
        <v>229</v>
      </c>
      <c r="E121" s="23" t="s">
        <v>166</v>
      </c>
      <c r="F121" s="24" t="s">
        <v>230</v>
      </c>
      <c r="G121" s="45">
        <v>340</v>
      </c>
      <c r="H121" s="23" t="s">
        <v>39</v>
      </c>
      <c r="I121" s="45" t="s">
        <v>168</v>
      </c>
      <c r="J121" s="23"/>
      <c r="K121" s="23"/>
      <c r="L121" s="23"/>
      <c r="M121" s="25"/>
      <c r="N121" s="23"/>
      <c r="O121" s="23"/>
      <c r="P121" s="23"/>
      <c r="Q121" s="1" t="s">
        <v>648</v>
      </c>
      <c r="R121" s="1" t="s">
        <v>813</v>
      </c>
      <c r="S121" s="1" t="s">
        <v>773</v>
      </c>
    </row>
    <row r="122" spans="1:21" hidden="1" x14ac:dyDescent="0.25">
      <c r="A122" s="14" t="s">
        <v>99</v>
      </c>
      <c r="B122" s="14">
        <v>4</v>
      </c>
      <c r="C122" s="14">
        <v>145</v>
      </c>
      <c r="D122" s="14" t="s">
        <v>222</v>
      </c>
      <c r="E122" s="14" t="s">
        <v>223</v>
      </c>
      <c r="F122" s="44" t="s">
        <v>96</v>
      </c>
      <c r="G122" s="45">
        <v>248</v>
      </c>
      <c r="H122" s="14" t="s">
        <v>126</v>
      </c>
      <c r="I122" s="45" t="s">
        <v>152</v>
      </c>
      <c r="J122" s="14">
        <v>4.6100000000000003</v>
      </c>
      <c r="K122" s="14">
        <v>1.64</v>
      </c>
      <c r="L122" s="43">
        <v>36</v>
      </c>
      <c r="M122" s="16" t="s">
        <v>224</v>
      </c>
      <c r="N122" s="14"/>
      <c r="O122" s="14"/>
      <c r="P122" s="14"/>
      <c r="Q122" s="1" t="s">
        <v>656</v>
      </c>
      <c r="R122" s="1" t="s">
        <v>812</v>
      </c>
      <c r="S122" s="1" t="s">
        <v>758</v>
      </c>
      <c r="T122" s="38">
        <v>248</v>
      </c>
      <c r="U122" s="1">
        <v>1</v>
      </c>
    </row>
    <row r="123" spans="1:21" hidden="1" x14ac:dyDescent="0.25">
      <c r="A123" s="29" t="s">
        <v>69</v>
      </c>
      <c r="B123" s="29">
        <v>5</v>
      </c>
      <c r="C123" s="29">
        <v>115</v>
      </c>
      <c r="D123" s="29" t="s">
        <v>165</v>
      </c>
      <c r="E123" s="29" t="s">
        <v>166</v>
      </c>
      <c r="F123" s="30" t="s">
        <v>167</v>
      </c>
      <c r="G123" s="43">
        <v>239</v>
      </c>
      <c r="H123" s="29" t="s">
        <v>39</v>
      </c>
      <c r="I123" s="29" t="s">
        <v>168</v>
      </c>
      <c r="J123" s="45">
        <v>4.62</v>
      </c>
      <c r="K123" s="29">
        <v>1.6</v>
      </c>
      <c r="L123" s="43">
        <v>39</v>
      </c>
      <c r="M123" s="31" t="s">
        <v>146</v>
      </c>
      <c r="N123" s="29">
        <v>7.02</v>
      </c>
      <c r="O123" s="45">
        <v>4.34</v>
      </c>
      <c r="P123" s="61">
        <v>22</v>
      </c>
      <c r="R123" s="1" t="s">
        <v>811</v>
      </c>
    </row>
    <row r="124" spans="1:21" hidden="1" x14ac:dyDescent="0.25">
      <c r="A124" s="29" t="s">
        <v>69</v>
      </c>
      <c r="B124" s="29">
        <v>5</v>
      </c>
      <c r="C124" s="29">
        <v>120</v>
      </c>
      <c r="D124" s="29" t="s">
        <v>465</v>
      </c>
      <c r="E124" s="29" t="s">
        <v>101</v>
      </c>
      <c r="F124" s="30" t="s">
        <v>191</v>
      </c>
      <c r="G124" s="45">
        <v>233</v>
      </c>
      <c r="H124" s="29">
        <v>9</v>
      </c>
      <c r="I124" s="29" t="s">
        <v>458</v>
      </c>
      <c r="J124" s="61">
        <v>4.6900000000000004</v>
      </c>
      <c r="K124" s="61"/>
      <c r="L124" s="61">
        <v>34.5</v>
      </c>
      <c r="M124" s="68">
        <v>46273</v>
      </c>
      <c r="N124" s="61">
        <v>7.25</v>
      </c>
      <c r="O124" s="72">
        <v>4.3</v>
      </c>
      <c r="P124" s="61">
        <v>21</v>
      </c>
      <c r="Q124" s="1" t="s">
        <v>648</v>
      </c>
      <c r="R124" s="1" t="s">
        <v>813</v>
      </c>
      <c r="S124" s="1" t="s">
        <v>691</v>
      </c>
    </row>
    <row r="125" spans="1:21" hidden="1" x14ac:dyDescent="0.25">
      <c r="A125" s="29" t="s">
        <v>69</v>
      </c>
      <c r="B125" s="29">
        <v>5</v>
      </c>
      <c r="C125" s="29">
        <v>125</v>
      </c>
      <c r="D125" s="29" t="s">
        <v>490</v>
      </c>
      <c r="E125" s="29" t="s">
        <v>34</v>
      </c>
      <c r="F125" s="30" t="s">
        <v>119</v>
      </c>
      <c r="G125" s="45">
        <v>231</v>
      </c>
      <c r="H125" s="29" t="s">
        <v>148</v>
      </c>
      <c r="I125" s="29" t="s">
        <v>68</v>
      </c>
      <c r="J125" s="29"/>
      <c r="K125" s="29"/>
      <c r="L125" s="43">
        <v>38</v>
      </c>
      <c r="M125" s="31" t="s">
        <v>146</v>
      </c>
      <c r="N125" s="29"/>
      <c r="O125" s="29"/>
      <c r="P125" s="29">
        <v>21</v>
      </c>
      <c r="Q125" s="1" t="s">
        <v>656</v>
      </c>
      <c r="R125" s="1" t="s">
        <v>812</v>
      </c>
      <c r="S125" s="1" t="s">
        <v>817</v>
      </c>
    </row>
    <row r="126" spans="1:21" hidden="1" x14ac:dyDescent="0.25">
      <c r="A126" s="32" t="s">
        <v>22</v>
      </c>
      <c r="B126" s="32">
        <v>5</v>
      </c>
      <c r="C126" s="32">
        <v>135</v>
      </c>
      <c r="D126" s="32" t="s">
        <v>503</v>
      </c>
      <c r="E126" s="32" t="s">
        <v>407</v>
      </c>
      <c r="F126" s="33" t="s">
        <v>35</v>
      </c>
      <c r="G126" s="43">
        <v>202</v>
      </c>
      <c r="H126" s="32" t="s">
        <v>63</v>
      </c>
      <c r="I126" s="32" t="s">
        <v>337</v>
      </c>
      <c r="J126" s="72">
        <v>4.5</v>
      </c>
      <c r="K126" s="32"/>
      <c r="L126" s="43">
        <v>42.5</v>
      </c>
      <c r="M126" s="34" t="s">
        <v>248</v>
      </c>
      <c r="N126" s="56">
        <v>7.06</v>
      </c>
      <c r="O126" s="43">
        <v>4.18</v>
      </c>
      <c r="P126" s="56">
        <v>16</v>
      </c>
      <c r="Q126" s="1" t="s">
        <v>661</v>
      </c>
      <c r="R126" s="1" t="s">
        <v>811</v>
      </c>
      <c r="S126" s="1" t="s">
        <v>795</v>
      </c>
    </row>
    <row r="127" spans="1:21" hidden="1" x14ac:dyDescent="0.25">
      <c r="A127" s="20" t="s">
        <v>54</v>
      </c>
      <c r="B127" s="20">
        <v>5</v>
      </c>
      <c r="C127" s="20">
        <v>140</v>
      </c>
      <c r="D127" s="20" t="s">
        <v>623</v>
      </c>
      <c r="E127" s="20" t="s">
        <v>624</v>
      </c>
      <c r="F127" s="44" t="s">
        <v>96</v>
      </c>
      <c r="G127" s="20">
        <v>310</v>
      </c>
      <c r="H127" s="20" t="s">
        <v>108</v>
      </c>
      <c r="I127" s="45" t="s">
        <v>88</v>
      </c>
      <c r="J127" s="20">
        <v>5.2</v>
      </c>
      <c r="K127" s="20">
        <v>1.85</v>
      </c>
      <c r="L127" s="20"/>
      <c r="M127" s="22"/>
      <c r="N127" s="20">
        <v>8.01</v>
      </c>
      <c r="O127" s="20"/>
      <c r="P127" s="20"/>
      <c r="R127" s="1" t="s">
        <v>812</v>
      </c>
      <c r="S127" s="1" t="s">
        <v>827</v>
      </c>
    </row>
    <row r="128" spans="1:21" hidden="1" x14ac:dyDescent="0.25">
      <c r="A128" s="35" t="s">
        <v>59</v>
      </c>
      <c r="B128" s="35">
        <v>5</v>
      </c>
      <c r="C128" s="35">
        <v>140</v>
      </c>
      <c r="D128" s="35" t="s">
        <v>453</v>
      </c>
      <c r="E128" s="35" t="s">
        <v>397</v>
      </c>
      <c r="F128" s="44" t="s">
        <v>191</v>
      </c>
      <c r="G128" s="45">
        <v>193</v>
      </c>
      <c r="H128" s="35">
        <v>9</v>
      </c>
      <c r="I128" s="45" t="s">
        <v>145</v>
      </c>
      <c r="J128" s="43">
        <v>4.4400000000000004</v>
      </c>
      <c r="K128" s="35">
        <v>1.58</v>
      </c>
      <c r="L128" s="43">
        <v>40.5</v>
      </c>
      <c r="M128" s="37" t="s">
        <v>146</v>
      </c>
      <c r="N128" s="58">
        <v>6.75</v>
      </c>
      <c r="O128" s="58">
        <v>4.12</v>
      </c>
      <c r="P128" s="35"/>
      <c r="Q128" s="1" t="s">
        <v>648</v>
      </c>
      <c r="R128" s="1" t="s">
        <v>811</v>
      </c>
      <c r="S128" s="1" t="s">
        <v>806</v>
      </c>
    </row>
    <row r="129" spans="1:21" hidden="1" x14ac:dyDescent="0.25">
      <c r="A129" s="17" t="s">
        <v>83</v>
      </c>
      <c r="B129" s="17">
        <v>5</v>
      </c>
      <c r="C129" s="17">
        <v>142</v>
      </c>
      <c r="D129" s="17" t="s">
        <v>591</v>
      </c>
      <c r="E129" s="17" t="s">
        <v>29</v>
      </c>
      <c r="F129" s="18" t="s">
        <v>71</v>
      </c>
      <c r="G129" s="17">
        <v>310</v>
      </c>
      <c r="H129" s="17" t="s">
        <v>108</v>
      </c>
      <c r="I129" s="45" t="s">
        <v>72</v>
      </c>
      <c r="J129" s="17"/>
      <c r="K129" s="17"/>
      <c r="L129" s="17"/>
      <c r="M129" s="19"/>
      <c r="N129" s="17"/>
      <c r="O129" s="17"/>
      <c r="P129" s="17"/>
      <c r="R129" s="1" t="s">
        <v>813</v>
      </c>
    </row>
    <row r="130" spans="1:21" x14ac:dyDescent="0.25">
      <c r="A130" s="23" t="s">
        <v>834</v>
      </c>
      <c r="B130" s="23">
        <v>5</v>
      </c>
      <c r="C130" s="23">
        <v>145</v>
      </c>
      <c r="D130" s="23" t="s">
        <v>532</v>
      </c>
      <c r="E130" s="23" t="s">
        <v>223</v>
      </c>
      <c r="F130" s="42" t="s">
        <v>327</v>
      </c>
      <c r="G130" s="45">
        <v>298</v>
      </c>
      <c r="H130" s="23" t="s">
        <v>148</v>
      </c>
      <c r="I130" s="43" t="s">
        <v>135</v>
      </c>
      <c r="J130" s="23"/>
      <c r="K130" s="23"/>
      <c r="L130" s="23"/>
      <c r="M130" s="25"/>
      <c r="N130" s="66">
        <v>7.69</v>
      </c>
      <c r="O130" s="66">
        <v>4.8899999999999997</v>
      </c>
      <c r="P130" s="23"/>
      <c r="Q130" s="1" t="s">
        <v>661</v>
      </c>
      <c r="R130" s="1" t="s">
        <v>812</v>
      </c>
      <c r="S130" s="1" t="s">
        <v>837</v>
      </c>
    </row>
    <row r="131" spans="1:21" x14ac:dyDescent="0.25">
      <c r="A131" s="23" t="s">
        <v>834</v>
      </c>
      <c r="B131" s="23">
        <v>5</v>
      </c>
      <c r="C131" s="23">
        <v>145</v>
      </c>
      <c r="D131" s="23" t="s">
        <v>457</v>
      </c>
      <c r="E131" s="23" t="s">
        <v>106</v>
      </c>
      <c r="F131" s="24" t="s">
        <v>191</v>
      </c>
      <c r="G131" s="23">
        <v>280</v>
      </c>
      <c r="H131" s="23" t="s">
        <v>148</v>
      </c>
      <c r="I131" s="23" t="s">
        <v>458</v>
      </c>
      <c r="J131" s="23"/>
      <c r="K131" s="23"/>
      <c r="L131" s="23"/>
      <c r="M131" s="25"/>
      <c r="N131" s="23"/>
      <c r="O131" s="23"/>
      <c r="P131" s="23">
        <v>27</v>
      </c>
      <c r="R131" s="1" t="s">
        <v>812</v>
      </c>
      <c r="S131" s="1" t="s">
        <v>843</v>
      </c>
    </row>
    <row r="132" spans="1:21" hidden="1" x14ac:dyDescent="0.25">
      <c r="A132" s="35" t="s">
        <v>59</v>
      </c>
      <c r="B132" s="35">
        <v>5</v>
      </c>
      <c r="C132" s="35">
        <v>145</v>
      </c>
      <c r="D132" s="35" t="s">
        <v>543</v>
      </c>
      <c r="E132" s="35" t="s">
        <v>130</v>
      </c>
      <c r="F132" s="44" t="s">
        <v>340</v>
      </c>
      <c r="G132" s="35">
        <v>185</v>
      </c>
      <c r="H132" s="35" t="s">
        <v>423</v>
      </c>
      <c r="I132" s="35" t="s">
        <v>209</v>
      </c>
      <c r="J132" s="43">
        <v>4.4000000000000004</v>
      </c>
      <c r="K132" s="35">
        <v>1.55</v>
      </c>
      <c r="L132" s="43">
        <v>39</v>
      </c>
      <c r="M132" s="37" t="s">
        <v>325</v>
      </c>
      <c r="N132" s="35"/>
      <c r="O132" s="35"/>
      <c r="P132" s="35"/>
    </row>
    <row r="133" spans="1:21" hidden="1" x14ac:dyDescent="0.25">
      <c r="A133" s="11" t="s">
        <v>32</v>
      </c>
      <c r="B133" s="11">
        <v>5</v>
      </c>
      <c r="C133" s="11">
        <v>145</v>
      </c>
      <c r="D133" s="11" t="s">
        <v>338</v>
      </c>
      <c r="E133" s="11" t="s">
        <v>339</v>
      </c>
      <c r="F133" s="44" t="s">
        <v>340</v>
      </c>
      <c r="G133" s="43">
        <v>206</v>
      </c>
      <c r="H133" s="43" t="s">
        <v>132</v>
      </c>
      <c r="I133" s="11" t="s">
        <v>195</v>
      </c>
      <c r="J133" s="43">
        <v>4.42</v>
      </c>
      <c r="K133" s="11">
        <v>1.55</v>
      </c>
      <c r="L133" s="45">
        <v>36.5</v>
      </c>
      <c r="M133" s="13" t="s">
        <v>196</v>
      </c>
      <c r="N133" s="11"/>
      <c r="O133" s="11"/>
      <c r="P133" s="11"/>
      <c r="R133" s="1" t="s">
        <v>812</v>
      </c>
      <c r="T133" s="38">
        <v>1004</v>
      </c>
      <c r="U133" s="1">
        <v>6</v>
      </c>
    </row>
    <row r="134" spans="1:21" hidden="1" x14ac:dyDescent="0.25">
      <c r="A134" s="32" t="s">
        <v>22</v>
      </c>
      <c r="B134" s="32">
        <v>5</v>
      </c>
      <c r="C134" s="32">
        <v>145</v>
      </c>
      <c r="D134" s="32" t="s">
        <v>410</v>
      </c>
      <c r="E134" s="32" t="s">
        <v>75</v>
      </c>
      <c r="F134" s="33" t="s">
        <v>243</v>
      </c>
      <c r="G134" s="43">
        <v>201</v>
      </c>
      <c r="H134" s="32" t="s">
        <v>20</v>
      </c>
      <c r="I134" s="32" t="s">
        <v>82</v>
      </c>
      <c r="J134" s="45">
        <v>4.55</v>
      </c>
      <c r="K134" s="32">
        <v>1.58</v>
      </c>
      <c r="L134" s="32">
        <v>33</v>
      </c>
      <c r="M134" s="34"/>
      <c r="N134" s="56">
        <v>6.99</v>
      </c>
      <c r="O134" s="58">
        <v>4.2300000000000004</v>
      </c>
      <c r="P134" s="32">
        <v>12</v>
      </c>
      <c r="Q134" s="1" t="s">
        <v>656</v>
      </c>
      <c r="R134" s="1" t="s">
        <v>812</v>
      </c>
      <c r="S134" s="1" t="s">
        <v>794</v>
      </c>
    </row>
    <row r="135" spans="1:21" hidden="1" x14ac:dyDescent="0.25">
      <c r="A135" s="3" t="s">
        <v>16</v>
      </c>
      <c r="B135" s="3">
        <v>5</v>
      </c>
      <c r="C135" s="3">
        <v>145</v>
      </c>
      <c r="D135" s="3" t="s">
        <v>326</v>
      </c>
      <c r="E135" s="3" t="s">
        <v>80</v>
      </c>
      <c r="F135" s="42" t="s">
        <v>327</v>
      </c>
      <c r="G135" s="3">
        <v>229</v>
      </c>
      <c r="H135" s="43" t="s">
        <v>132</v>
      </c>
      <c r="I135" s="3" t="s">
        <v>49</v>
      </c>
      <c r="J135" s="3"/>
      <c r="K135" s="3"/>
      <c r="L135" s="3"/>
      <c r="M135" s="7"/>
      <c r="N135" s="3"/>
      <c r="O135" s="3"/>
      <c r="P135" s="3"/>
      <c r="S135" s="1" t="s">
        <v>704</v>
      </c>
      <c r="T135" s="38">
        <v>3444</v>
      </c>
      <c r="U135" s="1">
        <v>24</v>
      </c>
    </row>
    <row r="136" spans="1:21" hidden="1" x14ac:dyDescent="0.25">
      <c r="A136" s="3" t="s">
        <v>16</v>
      </c>
      <c r="B136" s="3">
        <v>5</v>
      </c>
      <c r="C136" s="3">
        <v>150</v>
      </c>
      <c r="D136" s="3" t="s">
        <v>156</v>
      </c>
      <c r="E136" s="3" t="s">
        <v>85</v>
      </c>
      <c r="F136" s="44" t="s">
        <v>157</v>
      </c>
      <c r="G136" s="3">
        <v>228</v>
      </c>
      <c r="H136" s="43" t="s">
        <v>158</v>
      </c>
      <c r="I136" s="3" t="s">
        <v>159</v>
      </c>
      <c r="J136" s="3"/>
      <c r="K136" s="3"/>
      <c r="L136" s="3"/>
      <c r="M136" s="7"/>
      <c r="N136" s="3"/>
      <c r="O136" s="3"/>
      <c r="P136" s="3"/>
      <c r="T136" s="38">
        <v>1100</v>
      </c>
      <c r="U136" s="1">
        <v>8</v>
      </c>
    </row>
    <row r="137" spans="1:21" hidden="1" x14ac:dyDescent="0.25">
      <c r="A137" s="11" t="s">
        <v>32</v>
      </c>
      <c r="B137" s="11">
        <v>5</v>
      </c>
      <c r="C137" s="11">
        <v>150</v>
      </c>
      <c r="D137" s="11" t="s">
        <v>160</v>
      </c>
      <c r="E137" s="11" t="s">
        <v>18</v>
      </c>
      <c r="F137" s="44" t="s">
        <v>67</v>
      </c>
      <c r="G137" s="43">
        <v>210</v>
      </c>
      <c r="H137" s="43">
        <v>10</v>
      </c>
      <c r="I137" s="11" t="s">
        <v>82</v>
      </c>
      <c r="J137" s="11"/>
      <c r="K137" s="11"/>
      <c r="L137" s="11"/>
      <c r="M137" s="13"/>
      <c r="N137" s="11"/>
      <c r="O137" s="11"/>
      <c r="P137" s="11"/>
      <c r="Q137" s="1" t="s">
        <v>661</v>
      </c>
      <c r="R137" s="1" t="s">
        <v>813</v>
      </c>
      <c r="S137" s="1" t="s">
        <v>683</v>
      </c>
      <c r="T137" s="38">
        <v>830</v>
      </c>
      <c r="U137" s="1">
        <v>15</v>
      </c>
    </row>
    <row r="138" spans="1:21" hidden="1" x14ac:dyDescent="0.25">
      <c r="A138" s="35" t="s">
        <v>59</v>
      </c>
      <c r="B138" s="35">
        <v>5</v>
      </c>
      <c r="C138" s="35">
        <v>150</v>
      </c>
      <c r="D138" s="35" t="s">
        <v>437</v>
      </c>
      <c r="E138" s="35" t="s">
        <v>438</v>
      </c>
      <c r="F138" s="44" t="s">
        <v>191</v>
      </c>
      <c r="G138" s="35">
        <v>185</v>
      </c>
      <c r="H138" s="35" t="s">
        <v>44</v>
      </c>
      <c r="I138" s="45" t="s">
        <v>120</v>
      </c>
      <c r="J138" s="35"/>
      <c r="K138" s="35"/>
      <c r="L138" s="35"/>
      <c r="M138" s="37"/>
      <c r="N138" s="48">
        <v>7.28</v>
      </c>
      <c r="O138" s="58">
        <v>4.25</v>
      </c>
      <c r="P138" s="35">
        <v>15</v>
      </c>
    </row>
    <row r="139" spans="1:21" hidden="1" x14ac:dyDescent="0.25">
      <c r="A139" s="3" t="s">
        <v>16</v>
      </c>
      <c r="B139" s="3">
        <v>5</v>
      </c>
      <c r="C139" s="3">
        <v>150</v>
      </c>
      <c r="D139" s="3" t="s">
        <v>231</v>
      </c>
      <c r="E139" s="3" t="s">
        <v>66</v>
      </c>
      <c r="F139" s="42" t="s">
        <v>119</v>
      </c>
      <c r="G139" s="3">
        <v>207</v>
      </c>
      <c r="H139" s="45" t="s">
        <v>126</v>
      </c>
      <c r="I139" s="3" t="s">
        <v>215</v>
      </c>
      <c r="J139" s="3"/>
      <c r="K139" s="3"/>
      <c r="L139" s="3"/>
      <c r="M139" s="7"/>
      <c r="N139" s="3"/>
      <c r="O139" s="3"/>
      <c r="P139" s="3"/>
      <c r="T139" s="38">
        <v>2943</v>
      </c>
      <c r="U139" s="1">
        <v>16</v>
      </c>
    </row>
    <row r="140" spans="1:21" hidden="1" x14ac:dyDescent="0.25">
      <c r="A140" s="17" t="s">
        <v>83</v>
      </c>
      <c r="B140" s="17">
        <v>5</v>
      </c>
      <c r="C140" s="17">
        <v>150</v>
      </c>
      <c r="D140" s="17" t="s">
        <v>625</v>
      </c>
      <c r="E140" s="17" t="s">
        <v>101</v>
      </c>
      <c r="F140" s="18" t="s">
        <v>96</v>
      </c>
      <c r="G140" s="17">
        <v>308</v>
      </c>
      <c r="H140" s="17" t="s">
        <v>116</v>
      </c>
      <c r="I140" s="17" t="s">
        <v>172</v>
      </c>
      <c r="J140" s="72">
        <v>5.2</v>
      </c>
      <c r="K140" s="54"/>
      <c r="L140" s="72">
        <v>31</v>
      </c>
      <c r="M140" s="67">
        <v>46237</v>
      </c>
      <c r="N140" s="54">
        <v>7.69</v>
      </c>
      <c r="O140" s="54">
        <v>4.9000000000000004</v>
      </c>
      <c r="P140" s="54">
        <v>21</v>
      </c>
      <c r="R140" s="1" t="s">
        <v>813</v>
      </c>
      <c r="S140" s="1" t="s">
        <v>690</v>
      </c>
    </row>
    <row r="141" spans="1:21" hidden="1" x14ac:dyDescent="0.25">
      <c r="A141" s="29" t="s">
        <v>69</v>
      </c>
      <c r="B141" s="29">
        <v>5</v>
      </c>
      <c r="C141" s="29">
        <v>150</v>
      </c>
      <c r="D141" s="29" t="s">
        <v>491</v>
      </c>
      <c r="E141" s="29" t="s">
        <v>381</v>
      </c>
      <c r="F141" s="30" t="s">
        <v>119</v>
      </c>
      <c r="G141" s="43">
        <v>240</v>
      </c>
      <c r="H141" s="29" t="s">
        <v>52</v>
      </c>
      <c r="I141" s="29" t="s">
        <v>467</v>
      </c>
      <c r="J141" s="43">
        <v>4.57</v>
      </c>
      <c r="K141" s="29">
        <v>1.61</v>
      </c>
      <c r="L141" s="43">
        <v>37</v>
      </c>
      <c r="M141" s="31" t="s">
        <v>146</v>
      </c>
      <c r="N141" s="29">
        <v>7.12</v>
      </c>
      <c r="O141" s="43">
        <v>4.1900000000000004</v>
      </c>
      <c r="P141" s="61">
        <v>19</v>
      </c>
      <c r="R141" s="1" t="s">
        <v>811</v>
      </c>
    </row>
    <row r="142" spans="1:21" hidden="1" x14ac:dyDescent="0.25">
      <c r="A142" s="17" t="s">
        <v>83</v>
      </c>
      <c r="B142" s="17">
        <v>5</v>
      </c>
      <c r="C142" s="17">
        <v>151</v>
      </c>
      <c r="D142" s="17" t="s">
        <v>611</v>
      </c>
      <c r="E142" s="17" t="s">
        <v>115</v>
      </c>
      <c r="F142" s="18" t="s">
        <v>170</v>
      </c>
      <c r="G142" s="17">
        <v>334</v>
      </c>
      <c r="H142" s="17" t="s">
        <v>269</v>
      </c>
      <c r="I142" s="43" t="s">
        <v>109</v>
      </c>
      <c r="J142" s="43">
        <v>5.09</v>
      </c>
      <c r="K142" s="17">
        <v>1.73</v>
      </c>
      <c r="L142" s="45">
        <v>29.5</v>
      </c>
      <c r="M142" s="46" t="s">
        <v>443</v>
      </c>
      <c r="N142" s="17"/>
      <c r="O142" s="17"/>
      <c r="P142" s="17"/>
      <c r="Q142" s="1" t="s">
        <v>648</v>
      </c>
      <c r="R142" s="1" t="s">
        <v>813</v>
      </c>
      <c r="S142" s="1" t="s">
        <v>658</v>
      </c>
    </row>
    <row r="143" spans="1:21" hidden="1" x14ac:dyDescent="0.25">
      <c r="A143" s="17" t="s">
        <v>83</v>
      </c>
      <c r="B143" s="17">
        <v>5</v>
      </c>
      <c r="C143" s="17">
        <v>152</v>
      </c>
      <c r="D143" s="17" t="s">
        <v>161</v>
      </c>
      <c r="E143" s="17" t="s">
        <v>162</v>
      </c>
      <c r="F143" s="18" t="s">
        <v>163</v>
      </c>
      <c r="G143" s="17">
        <v>310</v>
      </c>
      <c r="H143" s="17">
        <v>9</v>
      </c>
      <c r="I143" s="45" t="s">
        <v>164</v>
      </c>
      <c r="J143" s="17"/>
      <c r="K143" s="17"/>
      <c r="L143" s="17"/>
      <c r="M143" s="19"/>
      <c r="N143" s="17"/>
      <c r="O143" s="17"/>
      <c r="P143" s="17"/>
      <c r="R143" s="1" t="s">
        <v>813</v>
      </c>
    </row>
    <row r="144" spans="1:21" hidden="1" x14ac:dyDescent="0.25">
      <c r="A144" s="17" t="s">
        <v>83</v>
      </c>
      <c r="B144" s="17">
        <v>5</v>
      </c>
      <c r="C144" s="17">
        <v>154</v>
      </c>
      <c r="D144" s="17" t="s">
        <v>594</v>
      </c>
      <c r="E144" s="17" t="s">
        <v>162</v>
      </c>
      <c r="F144" s="18" t="s">
        <v>71</v>
      </c>
      <c r="G144" s="17">
        <v>306</v>
      </c>
      <c r="H144" s="17" t="s">
        <v>108</v>
      </c>
      <c r="I144" s="43" t="s">
        <v>595</v>
      </c>
      <c r="J144" s="17"/>
      <c r="K144" s="17"/>
      <c r="L144" s="17"/>
      <c r="M144" s="19"/>
      <c r="N144" s="17"/>
      <c r="O144" s="17"/>
      <c r="P144" s="17"/>
    </row>
    <row r="145" spans="1:21" x14ac:dyDescent="0.25">
      <c r="A145" s="23" t="s">
        <v>834</v>
      </c>
      <c r="B145" s="23">
        <v>5</v>
      </c>
      <c r="C145" s="23">
        <v>155</v>
      </c>
      <c r="D145" s="23" t="s">
        <v>581</v>
      </c>
      <c r="E145" s="23" t="s">
        <v>66</v>
      </c>
      <c r="F145" s="44" t="s">
        <v>71</v>
      </c>
      <c r="G145" s="43">
        <v>313</v>
      </c>
      <c r="H145" s="23" t="s">
        <v>108</v>
      </c>
      <c r="I145" s="43" t="s">
        <v>580</v>
      </c>
      <c r="J145" s="43">
        <v>4.8499999999999996</v>
      </c>
      <c r="K145" s="23">
        <v>1.72</v>
      </c>
      <c r="L145" s="43">
        <v>33.5</v>
      </c>
      <c r="M145" s="25" t="s">
        <v>582</v>
      </c>
      <c r="N145" s="23"/>
      <c r="O145" s="23"/>
      <c r="P145" s="23"/>
      <c r="Q145" s="1" t="s">
        <v>648</v>
      </c>
      <c r="R145" s="1" t="s">
        <v>812</v>
      </c>
      <c r="S145" s="1" t="s">
        <v>707</v>
      </c>
    </row>
    <row r="146" spans="1:21" hidden="1" x14ac:dyDescent="0.25">
      <c r="A146" s="20" t="s">
        <v>54</v>
      </c>
      <c r="B146" s="20">
        <v>5</v>
      </c>
      <c r="C146" s="20">
        <v>155</v>
      </c>
      <c r="D146" s="20" t="s">
        <v>612</v>
      </c>
      <c r="E146" s="20" t="s">
        <v>456</v>
      </c>
      <c r="F146" s="42" t="s">
        <v>170</v>
      </c>
      <c r="G146" s="20">
        <v>308</v>
      </c>
      <c r="H146" s="20" t="s">
        <v>52</v>
      </c>
      <c r="I146" s="45" t="s">
        <v>274</v>
      </c>
      <c r="J146" s="43">
        <v>5.09</v>
      </c>
      <c r="K146" s="20">
        <v>1.84</v>
      </c>
      <c r="L146" s="43">
        <v>32</v>
      </c>
      <c r="M146" s="22"/>
      <c r="N146" s="20">
        <v>8.1999999999999993</v>
      </c>
      <c r="O146" s="20">
        <v>5.09</v>
      </c>
      <c r="P146" s="20"/>
      <c r="R146" s="1" t="s">
        <v>813</v>
      </c>
    </row>
    <row r="147" spans="1:21" hidden="1" x14ac:dyDescent="0.25">
      <c r="A147" s="11" t="s">
        <v>32</v>
      </c>
      <c r="B147" s="11">
        <v>5</v>
      </c>
      <c r="C147" s="11">
        <v>155</v>
      </c>
      <c r="D147" s="11" t="s">
        <v>392</v>
      </c>
      <c r="E147" s="11" t="s">
        <v>61</v>
      </c>
      <c r="F147" s="12"/>
      <c r="G147" s="11">
        <v>177</v>
      </c>
      <c r="H147" s="11">
        <v>9</v>
      </c>
      <c r="I147" s="11" t="s">
        <v>103</v>
      </c>
      <c r="J147" s="43">
        <v>4.4000000000000004</v>
      </c>
      <c r="K147" s="11">
        <v>1.62</v>
      </c>
      <c r="L147" s="11"/>
      <c r="M147" s="13"/>
      <c r="N147" s="11"/>
      <c r="O147" s="11"/>
      <c r="P147" s="11"/>
      <c r="Q147" s="1" t="s">
        <v>656</v>
      </c>
      <c r="R147" s="1" t="s">
        <v>812</v>
      </c>
      <c r="S147" s="1" t="s">
        <v>660</v>
      </c>
      <c r="T147" s="38">
        <v>532</v>
      </c>
      <c r="U147" s="1">
        <v>1</v>
      </c>
    </row>
    <row r="148" spans="1:21" hidden="1" x14ac:dyDescent="0.25">
      <c r="A148" s="17" t="s">
        <v>83</v>
      </c>
      <c r="B148" s="17">
        <v>5</v>
      </c>
      <c r="C148" s="17">
        <v>155</v>
      </c>
      <c r="D148" s="17" t="s">
        <v>564</v>
      </c>
      <c r="E148" s="17" t="s">
        <v>524</v>
      </c>
      <c r="F148" s="18" t="s">
        <v>565</v>
      </c>
      <c r="G148" s="17">
        <v>303</v>
      </c>
      <c r="H148" s="17" t="s">
        <v>566</v>
      </c>
      <c r="I148" s="17" t="s">
        <v>426</v>
      </c>
      <c r="J148" s="45">
        <v>5.0999999999999996</v>
      </c>
      <c r="K148" s="17">
        <v>1.73</v>
      </c>
      <c r="L148" s="17">
        <v>28</v>
      </c>
      <c r="M148" s="19" t="s">
        <v>567</v>
      </c>
      <c r="N148" s="17">
        <v>7.75</v>
      </c>
      <c r="O148" s="17">
        <v>4.71</v>
      </c>
      <c r="P148" s="54">
        <v>20</v>
      </c>
      <c r="R148" s="1" t="s">
        <v>813</v>
      </c>
    </row>
    <row r="149" spans="1:21" hidden="1" x14ac:dyDescent="0.25">
      <c r="A149" s="29" t="s">
        <v>69</v>
      </c>
      <c r="B149" s="29">
        <v>5</v>
      </c>
      <c r="C149" s="29">
        <v>155</v>
      </c>
      <c r="D149" s="29" t="s">
        <v>474</v>
      </c>
      <c r="E149" s="29" t="s">
        <v>397</v>
      </c>
      <c r="F149" s="30" t="s">
        <v>475</v>
      </c>
      <c r="G149" s="45">
        <v>231</v>
      </c>
      <c r="H149" s="29" t="s">
        <v>116</v>
      </c>
      <c r="I149" s="29" t="s">
        <v>467</v>
      </c>
      <c r="J149" s="43">
        <v>4.5599999999999996</v>
      </c>
      <c r="K149" s="29">
        <v>1.59</v>
      </c>
      <c r="L149" s="43">
        <v>40</v>
      </c>
      <c r="M149" s="31" t="s">
        <v>98</v>
      </c>
      <c r="N149" s="61">
        <v>6.98</v>
      </c>
      <c r="O149" s="58">
        <v>4.2</v>
      </c>
      <c r="P149" s="29"/>
      <c r="Q149" s="1" t="s">
        <v>648</v>
      </c>
      <c r="R149" s="1" t="s">
        <v>811</v>
      </c>
      <c r="S149" s="1" t="s">
        <v>805</v>
      </c>
    </row>
    <row r="150" spans="1:21" hidden="1" x14ac:dyDescent="0.25">
      <c r="A150" s="29" t="s">
        <v>69</v>
      </c>
      <c r="B150" s="29">
        <v>5</v>
      </c>
      <c r="C150" s="29">
        <v>155</v>
      </c>
      <c r="D150" s="29" t="s">
        <v>499</v>
      </c>
      <c r="E150" s="29" t="s">
        <v>500</v>
      </c>
      <c r="F150" s="30" t="s">
        <v>119</v>
      </c>
      <c r="G150" s="45">
        <v>232</v>
      </c>
      <c r="H150" s="29" t="s">
        <v>269</v>
      </c>
      <c r="I150" s="29">
        <v>31</v>
      </c>
      <c r="J150" s="29"/>
      <c r="K150" s="29"/>
      <c r="L150" s="29"/>
      <c r="M150" s="31"/>
      <c r="N150" s="29"/>
      <c r="O150" s="29"/>
      <c r="P150" s="29"/>
      <c r="S150" s="1" t="s">
        <v>816</v>
      </c>
    </row>
    <row r="151" spans="1:21" hidden="1" x14ac:dyDescent="0.25">
      <c r="A151" s="26" t="s">
        <v>36</v>
      </c>
      <c r="B151" s="26">
        <v>5</v>
      </c>
      <c r="C151" s="26">
        <v>155</v>
      </c>
      <c r="D151" s="26" t="s">
        <v>589</v>
      </c>
      <c r="E151" s="26" t="s">
        <v>391</v>
      </c>
      <c r="F151" s="44" t="s">
        <v>71</v>
      </c>
      <c r="G151" s="45">
        <v>251</v>
      </c>
      <c r="H151" s="26" t="s">
        <v>269</v>
      </c>
      <c r="I151" s="45" t="s">
        <v>461</v>
      </c>
      <c r="J151" s="26">
        <v>4.78</v>
      </c>
      <c r="K151" s="26">
        <v>1.61</v>
      </c>
      <c r="L151" s="43">
        <v>40</v>
      </c>
      <c r="M151" s="28" t="s">
        <v>146</v>
      </c>
      <c r="N151" s="26"/>
      <c r="O151" s="26"/>
      <c r="P151" s="26"/>
      <c r="R151" s="1" t="s">
        <v>812</v>
      </c>
      <c r="S151" s="1" t="s">
        <v>836</v>
      </c>
    </row>
    <row r="152" spans="1:21" hidden="1" x14ac:dyDescent="0.25">
      <c r="A152" s="11" t="s">
        <v>32</v>
      </c>
      <c r="B152" s="11">
        <v>5</v>
      </c>
      <c r="C152" s="11">
        <v>159</v>
      </c>
      <c r="D152" s="11" t="s">
        <v>390</v>
      </c>
      <c r="E152" s="11" t="s">
        <v>391</v>
      </c>
      <c r="F152" s="12"/>
      <c r="G152" s="11">
        <v>183</v>
      </c>
      <c r="H152" s="11" t="s">
        <v>31</v>
      </c>
      <c r="I152" s="11" t="s">
        <v>215</v>
      </c>
      <c r="J152" s="11">
        <v>4.54</v>
      </c>
      <c r="K152" s="11">
        <v>1.59</v>
      </c>
      <c r="L152" s="11">
        <v>34.5</v>
      </c>
      <c r="M152" s="13">
        <v>46272</v>
      </c>
      <c r="N152" s="45">
        <v>6.86</v>
      </c>
      <c r="O152" s="43">
        <v>4.07</v>
      </c>
      <c r="P152" s="11"/>
      <c r="R152" s="1" t="s">
        <v>812</v>
      </c>
      <c r="T152" s="38">
        <v>391</v>
      </c>
      <c r="U152" s="1">
        <v>1</v>
      </c>
    </row>
    <row r="153" spans="1:21" hidden="1" x14ac:dyDescent="0.25">
      <c r="A153" s="14" t="s">
        <v>99</v>
      </c>
      <c r="B153" s="14">
        <v>5</v>
      </c>
      <c r="C153" s="14">
        <v>159</v>
      </c>
      <c r="D153" s="14" t="s">
        <v>251</v>
      </c>
      <c r="E153" s="14" t="s">
        <v>252</v>
      </c>
      <c r="F153" s="42" t="s">
        <v>253</v>
      </c>
      <c r="G153" s="45">
        <v>245</v>
      </c>
      <c r="H153" s="45" t="s">
        <v>132</v>
      </c>
      <c r="I153" s="14" t="s">
        <v>215</v>
      </c>
      <c r="J153" s="14">
        <v>4.62</v>
      </c>
      <c r="K153" s="14">
        <v>1.59</v>
      </c>
      <c r="L153" s="43">
        <v>36</v>
      </c>
      <c r="M153" s="16" t="s">
        <v>254</v>
      </c>
      <c r="N153" s="14"/>
      <c r="O153" s="14"/>
      <c r="P153" s="14"/>
      <c r="R153" s="1" t="s">
        <v>812</v>
      </c>
      <c r="T153" s="38">
        <v>346</v>
      </c>
      <c r="U153" s="1">
        <v>3</v>
      </c>
    </row>
    <row r="154" spans="1:21" x14ac:dyDescent="0.25">
      <c r="A154" s="23" t="s">
        <v>834</v>
      </c>
      <c r="B154" s="23">
        <v>5</v>
      </c>
      <c r="C154" s="23">
        <v>160</v>
      </c>
      <c r="D154" s="23" t="s">
        <v>495</v>
      </c>
      <c r="E154" s="23" t="s">
        <v>496</v>
      </c>
      <c r="F154" s="24" t="s">
        <v>119</v>
      </c>
      <c r="G154" s="43">
        <v>322</v>
      </c>
      <c r="H154" s="23" t="s">
        <v>108</v>
      </c>
      <c r="I154" s="43" t="s">
        <v>135</v>
      </c>
      <c r="J154" s="23"/>
      <c r="K154" s="23"/>
      <c r="L154" s="23"/>
      <c r="M154" s="25"/>
      <c r="N154" s="23"/>
      <c r="O154" s="23"/>
      <c r="P154" s="23"/>
      <c r="Q154" s="1" t="s">
        <v>648</v>
      </c>
      <c r="R154" s="1" t="s">
        <v>813</v>
      </c>
      <c r="S154" s="1" t="s">
        <v>856</v>
      </c>
    </row>
    <row r="155" spans="1:21" x14ac:dyDescent="0.25">
      <c r="A155" s="23" t="s">
        <v>834</v>
      </c>
      <c r="B155" s="23">
        <v>5</v>
      </c>
      <c r="C155" s="23">
        <v>160</v>
      </c>
      <c r="D155" s="23" t="s">
        <v>602</v>
      </c>
      <c r="E155" s="23" t="s">
        <v>603</v>
      </c>
      <c r="F155" s="44" t="s">
        <v>604</v>
      </c>
      <c r="G155" s="43">
        <v>315</v>
      </c>
      <c r="H155" s="23">
        <v>11</v>
      </c>
      <c r="I155" s="43" t="s">
        <v>239</v>
      </c>
      <c r="J155" s="23"/>
      <c r="K155" s="23"/>
      <c r="L155" s="23"/>
      <c r="M155" s="25"/>
      <c r="N155" s="23"/>
      <c r="O155" s="23"/>
      <c r="P155" s="23"/>
      <c r="Q155" s="1" t="s">
        <v>648</v>
      </c>
      <c r="R155" s="1" t="s">
        <v>813</v>
      </c>
      <c r="S155" s="1" t="s">
        <v>771</v>
      </c>
    </row>
    <row r="156" spans="1:21" hidden="1" x14ac:dyDescent="0.25">
      <c r="A156" s="8" t="s">
        <v>27</v>
      </c>
      <c r="B156" s="8">
        <v>5</v>
      </c>
      <c r="C156" s="8">
        <v>160</v>
      </c>
      <c r="D156" s="8" t="s">
        <v>301</v>
      </c>
      <c r="E156" s="8" t="s">
        <v>302</v>
      </c>
      <c r="F156" s="9" t="s">
        <v>280</v>
      </c>
      <c r="G156" s="8">
        <v>188</v>
      </c>
      <c r="H156" s="8">
        <v>9</v>
      </c>
      <c r="I156" s="8" t="s">
        <v>303</v>
      </c>
      <c r="J156" s="58">
        <v>4.37</v>
      </c>
      <c r="K156" s="8">
        <v>1.59</v>
      </c>
      <c r="L156" s="8"/>
      <c r="M156" s="10" t="s">
        <v>128</v>
      </c>
      <c r="N156" s="8"/>
      <c r="O156" s="8"/>
      <c r="P156" s="8"/>
      <c r="R156" s="1" t="s">
        <v>811</v>
      </c>
      <c r="S156" s="1" t="s">
        <v>788</v>
      </c>
      <c r="T156" s="38">
        <v>907</v>
      </c>
      <c r="U156" s="1">
        <v>10</v>
      </c>
    </row>
    <row r="157" spans="1:21" hidden="1" x14ac:dyDescent="0.25">
      <c r="A157" s="11" t="s">
        <v>32</v>
      </c>
      <c r="B157" s="11">
        <v>5</v>
      </c>
      <c r="C157" s="11">
        <v>160</v>
      </c>
      <c r="D157" s="11" t="s">
        <v>396</v>
      </c>
      <c r="E157" s="11" t="s">
        <v>397</v>
      </c>
      <c r="F157" s="64" t="s">
        <v>417</v>
      </c>
      <c r="G157" s="45">
        <v>193</v>
      </c>
      <c r="H157" s="11" t="s">
        <v>398</v>
      </c>
      <c r="I157" s="11" t="s">
        <v>399</v>
      </c>
      <c r="J157" s="45">
        <v>4.47</v>
      </c>
      <c r="K157" s="11">
        <v>1.58</v>
      </c>
      <c r="L157" s="45">
        <v>35.5</v>
      </c>
      <c r="M157" s="13">
        <v>46267</v>
      </c>
      <c r="N157" s="62">
        <v>7.35</v>
      </c>
      <c r="O157" s="62">
        <v>4.45</v>
      </c>
      <c r="P157" s="11"/>
      <c r="Q157" s="1" t="s">
        <v>648</v>
      </c>
      <c r="R157" s="1" t="s">
        <v>812</v>
      </c>
      <c r="S157" s="1" t="s">
        <v>808</v>
      </c>
      <c r="T157" s="38">
        <v>151</v>
      </c>
      <c r="U157" s="1">
        <v>1</v>
      </c>
    </row>
    <row r="158" spans="1:21" hidden="1" x14ac:dyDescent="0.25">
      <c r="A158" s="11" t="s">
        <v>32</v>
      </c>
      <c r="B158" s="11">
        <v>5</v>
      </c>
      <c r="C158" s="11">
        <v>160</v>
      </c>
      <c r="D158" s="11" t="s">
        <v>284</v>
      </c>
      <c r="E158" s="11" t="s">
        <v>29</v>
      </c>
      <c r="F158" s="44" t="s">
        <v>167</v>
      </c>
      <c r="G158" s="43">
        <v>218</v>
      </c>
      <c r="H158" s="11">
        <v>9</v>
      </c>
      <c r="I158" s="11" t="s">
        <v>127</v>
      </c>
      <c r="J158" s="11">
        <v>4.6100000000000003</v>
      </c>
      <c r="K158" s="11">
        <v>1.63</v>
      </c>
      <c r="L158" s="43">
        <v>38</v>
      </c>
      <c r="M158" s="13" t="s">
        <v>199</v>
      </c>
      <c r="N158" s="11">
        <v>6.98</v>
      </c>
      <c r="O158" s="11">
        <v>4.3499999999999996</v>
      </c>
      <c r="P158" s="11"/>
      <c r="T158" s="38">
        <v>630</v>
      </c>
      <c r="U158" s="1">
        <v>5</v>
      </c>
    </row>
    <row r="159" spans="1:21" hidden="1" x14ac:dyDescent="0.25">
      <c r="A159" s="11" t="s">
        <v>32</v>
      </c>
      <c r="B159" s="11">
        <v>5</v>
      </c>
      <c r="C159" s="11">
        <v>160</v>
      </c>
      <c r="D159" s="11" t="s">
        <v>275</v>
      </c>
      <c r="E159" s="11" t="s">
        <v>276</v>
      </c>
      <c r="F159" s="12"/>
      <c r="G159" s="45">
        <v>194</v>
      </c>
      <c r="H159" s="43" t="s">
        <v>132</v>
      </c>
      <c r="I159" s="11" t="s">
        <v>195</v>
      </c>
      <c r="J159" s="11"/>
      <c r="K159" s="11"/>
      <c r="L159" s="11"/>
      <c r="M159" s="13"/>
      <c r="N159" s="11"/>
      <c r="O159" s="11"/>
      <c r="P159" s="11"/>
      <c r="T159" s="38">
        <v>1190</v>
      </c>
      <c r="U159" s="1">
        <v>10</v>
      </c>
    </row>
    <row r="160" spans="1:21" hidden="1" x14ac:dyDescent="0.25">
      <c r="A160" s="3" t="s">
        <v>16</v>
      </c>
      <c r="B160" s="3">
        <v>5</v>
      </c>
      <c r="C160" s="3">
        <v>160</v>
      </c>
      <c r="D160" s="3" t="s">
        <v>232</v>
      </c>
      <c r="E160" s="3" t="s">
        <v>51</v>
      </c>
      <c r="F160" s="44" t="s">
        <v>19</v>
      </c>
      <c r="G160" s="3">
        <v>233</v>
      </c>
      <c r="H160" s="43">
        <v>10</v>
      </c>
      <c r="I160" s="3" t="s">
        <v>141</v>
      </c>
      <c r="J160" s="3"/>
      <c r="K160" s="3"/>
      <c r="L160" s="3"/>
      <c r="M160" s="7"/>
      <c r="N160" s="3"/>
      <c r="O160" s="3"/>
      <c r="P160" s="3"/>
      <c r="Q160" s="1" t="s">
        <v>661</v>
      </c>
      <c r="S160" s="1" t="s">
        <v>689</v>
      </c>
      <c r="T160" s="38">
        <v>3813</v>
      </c>
      <c r="U160" s="1">
        <v>30</v>
      </c>
    </row>
    <row r="161" spans="1:21" hidden="1" x14ac:dyDescent="0.25">
      <c r="A161" s="29" t="s">
        <v>69</v>
      </c>
      <c r="B161" s="29">
        <v>5</v>
      </c>
      <c r="C161" s="29">
        <v>160</v>
      </c>
      <c r="D161" s="29" t="s">
        <v>536</v>
      </c>
      <c r="E161" s="29" t="s">
        <v>42</v>
      </c>
      <c r="F161" s="30" t="s">
        <v>327</v>
      </c>
      <c r="G161" s="29">
        <v>226</v>
      </c>
      <c r="H161" s="29" t="s">
        <v>148</v>
      </c>
      <c r="I161" s="29" t="s">
        <v>168</v>
      </c>
      <c r="J161" s="29"/>
      <c r="K161" s="29"/>
      <c r="L161" s="29"/>
      <c r="M161" s="31"/>
      <c r="N161" s="29"/>
      <c r="O161" s="29"/>
      <c r="P161" s="29"/>
      <c r="R161" s="1" t="s">
        <v>812</v>
      </c>
      <c r="S161" s="1" t="s">
        <v>818</v>
      </c>
    </row>
    <row r="162" spans="1:21" hidden="1" x14ac:dyDescent="0.25">
      <c r="A162" s="26" t="s">
        <v>36</v>
      </c>
      <c r="B162" s="26">
        <v>5</v>
      </c>
      <c r="C162" s="26">
        <v>160</v>
      </c>
      <c r="D162" s="26" t="s">
        <v>483</v>
      </c>
      <c r="E162" s="26" t="s">
        <v>484</v>
      </c>
      <c r="F162" s="27" t="s">
        <v>119</v>
      </c>
      <c r="G162" s="45">
        <v>247</v>
      </c>
      <c r="H162" s="26">
        <v>9</v>
      </c>
      <c r="I162" s="26" t="s">
        <v>464</v>
      </c>
      <c r="J162" s="26">
        <v>4.7300000000000004</v>
      </c>
      <c r="K162" s="26">
        <v>1.63</v>
      </c>
      <c r="L162" s="45">
        <v>33.5</v>
      </c>
      <c r="M162" s="28" t="s">
        <v>254</v>
      </c>
      <c r="N162" s="59">
        <v>7.44</v>
      </c>
      <c r="O162" s="59">
        <v>4.68</v>
      </c>
      <c r="P162" s="59">
        <v>22</v>
      </c>
      <c r="R162" s="1" t="s">
        <v>812</v>
      </c>
      <c r="S162" s="1" t="s">
        <v>845</v>
      </c>
    </row>
    <row r="163" spans="1:21" x14ac:dyDescent="0.25">
      <c r="A163" s="23" t="s">
        <v>834</v>
      </c>
      <c r="B163" s="23">
        <v>5</v>
      </c>
      <c r="C163" s="23">
        <v>161</v>
      </c>
      <c r="D163" s="23" t="s">
        <v>444</v>
      </c>
      <c r="E163" s="23" t="s">
        <v>138</v>
      </c>
      <c r="F163" s="24" t="s">
        <v>191</v>
      </c>
      <c r="G163" s="23">
        <v>295</v>
      </c>
      <c r="H163" s="23" t="s">
        <v>122</v>
      </c>
      <c r="I163" s="45" t="s">
        <v>426</v>
      </c>
      <c r="J163" s="43">
        <v>4.88</v>
      </c>
      <c r="K163" s="23">
        <v>1.72</v>
      </c>
      <c r="L163" s="43">
        <v>34</v>
      </c>
      <c r="M163" s="25" t="s">
        <v>266</v>
      </c>
      <c r="N163" s="23">
        <v>7.77</v>
      </c>
      <c r="O163" s="23">
        <v>4.8499999999999996</v>
      </c>
      <c r="P163" s="23"/>
      <c r="S163" s="1" t="s">
        <v>838</v>
      </c>
    </row>
    <row r="164" spans="1:21" hidden="1" x14ac:dyDescent="0.25">
      <c r="A164" s="8" t="s">
        <v>27</v>
      </c>
      <c r="B164" s="8">
        <v>5</v>
      </c>
      <c r="C164" s="8">
        <v>161</v>
      </c>
      <c r="D164" s="8" t="s">
        <v>277</v>
      </c>
      <c r="E164" s="8" t="s">
        <v>138</v>
      </c>
      <c r="F164" s="9" t="s">
        <v>243</v>
      </c>
      <c r="G164" s="8">
        <v>203</v>
      </c>
      <c r="H164" s="8" t="s">
        <v>20</v>
      </c>
      <c r="I164" s="8">
        <v>31</v>
      </c>
      <c r="J164" s="8"/>
      <c r="K164" s="8"/>
      <c r="L164" s="8"/>
      <c r="M164" s="10"/>
      <c r="N164" s="8"/>
      <c r="O164" s="8"/>
      <c r="P164" s="8"/>
      <c r="R164" s="1" t="s">
        <v>812</v>
      </c>
      <c r="S164" s="1" t="s">
        <v>791</v>
      </c>
      <c r="T164" s="38">
        <v>404</v>
      </c>
      <c r="U164" s="1">
        <v>6</v>
      </c>
    </row>
    <row r="165" spans="1:21" hidden="1" x14ac:dyDescent="0.25">
      <c r="A165" s="8" t="s">
        <v>27</v>
      </c>
      <c r="B165" s="8">
        <v>5</v>
      </c>
      <c r="C165" s="8">
        <v>162</v>
      </c>
      <c r="D165" s="8" t="s">
        <v>320</v>
      </c>
      <c r="E165" s="8" t="s">
        <v>24</v>
      </c>
      <c r="F165" s="9" t="s">
        <v>119</v>
      </c>
      <c r="G165" s="45">
        <v>230</v>
      </c>
      <c r="H165" s="8" t="s">
        <v>20</v>
      </c>
      <c r="I165" s="8" t="s">
        <v>49</v>
      </c>
      <c r="J165" s="8"/>
      <c r="K165" s="8"/>
      <c r="L165" s="8"/>
      <c r="M165" s="10"/>
      <c r="N165" s="8"/>
      <c r="O165" s="8"/>
      <c r="P165" s="8"/>
      <c r="Q165" s="1" t="s">
        <v>648</v>
      </c>
      <c r="R165" s="1" t="s">
        <v>813</v>
      </c>
      <c r="S165" s="1" t="s">
        <v>736</v>
      </c>
      <c r="T165" s="38">
        <v>361</v>
      </c>
      <c r="U165" s="1">
        <v>10</v>
      </c>
    </row>
    <row r="166" spans="1:21" hidden="1" x14ac:dyDescent="0.25">
      <c r="A166" s="8" t="s">
        <v>27</v>
      </c>
      <c r="B166" s="8">
        <v>5</v>
      </c>
      <c r="C166" s="8">
        <v>162</v>
      </c>
      <c r="D166" s="8" t="s">
        <v>333</v>
      </c>
      <c r="E166" s="8" t="s">
        <v>66</v>
      </c>
      <c r="F166" s="9" t="s">
        <v>332</v>
      </c>
      <c r="G166" s="45">
        <v>232</v>
      </c>
      <c r="H166" s="8" t="s">
        <v>132</v>
      </c>
      <c r="I166" s="8" t="s">
        <v>152</v>
      </c>
      <c r="J166" s="45">
        <v>4.5</v>
      </c>
      <c r="K166" s="8">
        <v>1.6</v>
      </c>
      <c r="L166" s="43">
        <v>37</v>
      </c>
      <c r="M166" s="10" t="s">
        <v>199</v>
      </c>
      <c r="N166" s="8"/>
      <c r="O166" s="8">
        <v>4.53</v>
      </c>
      <c r="P166" s="8">
        <v>26</v>
      </c>
      <c r="Q166" s="1" t="s">
        <v>648</v>
      </c>
      <c r="R166" s="1" t="s">
        <v>812</v>
      </c>
      <c r="S166" s="1" t="s">
        <v>710</v>
      </c>
      <c r="T166" s="38">
        <v>814</v>
      </c>
      <c r="U166" s="1">
        <v>10</v>
      </c>
    </row>
    <row r="167" spans="1:21" x14ac:dyDescent="0.25">
      <c r="A167" s="23" t="s">
        <v>834</v>
      </c>
      <c r="B167" s="23">
        <v>5</v>
      </c>
      <c r="C167" s="23">
        <v>165</v>
      </c>
      <c r="D167" s="23" t="s">
        <v>642</v>
      </c>
      <c r="E167" s="23" t="s">
        <v>344</v>
      </c>
      <c r="F167" s="44" t="s">
        <v>641</v>
      </c>
      <c r="G167" s="45">
        <v>330</v>
      </c>
      <c r="H167" s="23">
        <v>10</v>
      </c>
      <c r="I167" s="43" t="s">
        <v>628</v>
      </c>
      <c r="J167" s="23"/>
      <c r="K167" s="23"/>
      <c r="L167" s="23"/>
      <c r="M167" s="25"/>
      <c r="N167" s="23"/>
      <c r="O167" s="23"/>
      <c r="P167" s="23"/>
      <c r="Q167" s="1" t="s">
        <v>661</v>
      </c>
      <c r="R167" s="1" t="s">
        <v>811</v>
      </c>
      <c r="S167" s="1" t="s">
        <v>772</v>
      </c>
    </row>
    <row r="168" spans="1:21" hidden="1" x14ac:dyDescent="0.25">
      <c r="A168" s="26" t="s">
        <v>36</v>
      </c>
      <c r="B168" s="26">
        <v>5</v>
      </c>
      <c r="C168" s="26">
        <v>165</v>
      </c>
      <c r="D168" s="26" t="s">
        <v>478</v>
      </c>
      <c r="E168" s="26" t="s">
        <v>252</v>
      </c>
      <c r="F168" s="27" t="s">
        <v>119</v>
      </c>
      <c r="G168" s="26">
        <v>243</v>
      </c>
      <c r="H168" s="26" t="s">
        <v>87</v>
      </c>
      <c r="I168" s="26" t="s">
        <v>426</v>
      </c>
      <c r="J168" s="26">
        <v>4.54</v>
      </c>
      <c r="K168" s="26">
        <v>1.6</v>
      </c>
      <c r="L168" s="43">
        <v>38.5</v>
      </c>
      <c r="M168" s="28" t="s">
        <v>192</v>
      </c>
      <c r="N168" s="26"/>
      <c r="O168" s="45">
        <v>4.43</v>
      </c>
      <c r="P168" s="26"/>
      <c r="S168" s="1" t="s">
        <v>847</v>
      </c>
    </row>
    <row r="169" spans="1:21" x14ac:dyDescent="0.25">
      <c r="A169" s="23" t="s">
        <v>834</v>
      </c>
      <c r="B169" s="23">
        <v>5</v>
      </c>
      <c r="C169" s="23">
        <v>165</v>
      </c>
      <c r="D169" s="23" t="s">
        <v>498</v>
      </c>
      <c r="E169" s="23" t="s">
        <v>279</v>
      </c>
      <c r="F169" s="24" t="s">
        <v>119</v>
      </c>
      <c r="G169" s="45">
        <v>305</v>
      </c>
      <c r="H169" s="23">
        <v>10</v>
      </c>
      <c r="I169" s="43" t="s">
        <v>274</v>
      </c>
      <c r="J169" s="23"/>
      <c r="K169" s="23"/>
      <c r="L169" s="23"/>
      <c r="M169" s="69">
        <v>46238</v>
      </c>
      <c r="N169" s="66"/>
      <c r="O169" s="66">
        <v>4.96</v>
      </c>
      <c r="P169" s="43">
        <v>30</v>
      </c>
      <c r="Q169" s="1" t="s">
        <v>648</v>
      </c>
      <c r="R169" s="1" t="s">
        <v>813</v>
      </c>
      <c r="S169" s="1" t="s">
        <v>761</v>
      </c>
    </row>
    <row r="170" spans="1:21" hidden="1" x14ac:dyDescent="0.25">
      <c r="A170" s="8" t="s">
        <v>27</v>
      </c>
      <c r="B170" s="8">
        <v>5</v>
      </c>
      <c r="C170" s="8">
        <v>170</v>
      </c>
      <c r="D170" s="8" t="s">
        <v>783</v>
      </c>
      <c r="E170" s="8" t="s">
        <v>279</v>
      </c>
      <c r="F170" s="9" t="s">
        <v>243</v>
      </c>
      <c r="G170" s="8">
        <v>198</v>
      </c>
      <c r="H170" s="8"/>
      <c r="I170" s="8"/>
      <c r="J170" s="43">
        <v>4.46</v>
      </c>
      <c r="K170" s="8"/>
      <c r="L170" s="43">
        <v>40.5</v>
      </c>
      <c r="M170" s="10" t="s">
        <v>142</v>
      </c>
      <c r="N170" s="72">
        <v>7.06</v>
      </c>
      <c r="O170" s="58">
        <v>4.24</v>
      </c>
      <c r="P170" s="57">
        <v>16</v>
      </c>
      <c r="Q170" s="1" t="s">
        <v>661</v>
      </c>
      <c r="R170" s="1" t="s">
        <v>811</v>
      </c>
      <c r="S170" s="1" t="s">
        <v>784</v>
      </c>
    </row>
    <row r="171" spans="1:21" hidden="1" x14ac:dyDescent="0.25">
      <c r="A171" s="8" t="s">
        <v>27</v>
      </c>
      <c r="B171" s="8">
        <v>5</v>
      </c>
      <c r="C171" s="8">
        <v>171</v>
      </c>
      <c r="D171" s="8" t="s">
        <v>242</v>
      </c>
      <c r="E171" s="8" t="s">
        <v>85</v>
      </c>
      <c r="F171" s="9" t="s">
        <v>243</v>
      </c>
      <c r="G171" s="43">
        <v>216</v>
      </c>
      <c r="H171" s="8" t="s">
        <v>20</v>
      </c>
      <c r="I171" s="8" t="s">
        <v>244</v>
      </c>
      <c r="J171" s="8"/>
      <c r="K171" s="8"/>
      <c r="L171" s="8"/>
      <c r="M171" s="10"/>
      <c r="N171" s="8"/>
      <c r="O171" s="8"/>
      <c r="P171" s="8"/>
      <c r="Q171" s="1" t="s">
        <v>656</v>
      </c>
      <c r="R171" s="1" t="s">
        <v>813</v>
      </c>
      <c r="S171" s="1" t="s">
        <v>786</v>
      </c>
      <c r="T171" s="38">
        <v>1303</v>
      </c>
      <c r="U171" s="1">
        <v>15</v>
      </c>
    </row>
    <row r="172" spans="1:21" hidden="1" x14ac:dyDescent="0.25">
      <c r="A172" s="32" t="s">
        <v>22</v>
      </c>
      <c r="B172" s="32">
        <v>5</v>
      </c>
      <c r="C172" s="32">
        <v>180</v>
      </c>
      <c r="D172" s="32" t="s">
        <v>452</v>
      </c>
      <c r="E172" s="32" t="s">
        <v>140</v>
      </c>
      <c r="F172" s="33" t="s">
        <v>191</v>
      </c>
      <c r="G172" s="43">
        <v>210</v>
      </c>
      <c r="H172" s="32" t="s">
        <v>44</v>
      </c>
      <c r="I172" s="32" t="s">
        <v>386</v>
      </c>
      <c r="J172" s="43">
        <v>4.4000000000000004</v>
      </c>
      <c r="K172" s="32">
        <v>1.56</v>
      </c>
      <c r="L172" s="43">
        <v>37</v>
      </c>
      <c r="M172" s="34" t="s">
        <v>325</v>
      </c>
      <c r="N172" s="32"/>
      <c r="O172" s="45">
        <v>4.32</v>
      </c>
      <c r="P172" s="32">
        <v>16</v>
      </c>
      <c r="R172" s="1" t="s">
        <v>811</v>
      </c>
      <c r="S172" s="1" t="s">
        <v>793</v>
      </c>
    </row>
    <row r="173" spans="1:21" hidden="1" x14ac:dyDescent="0.25">
      <c r="A173" s="32" t="s">
        <v>22</v>
      </c>
      <c r="B173" s="32">
        <v>5</v>
      </c>
      <c r="C173" s="32">
        <v>185</v>
      </c>
      <c r="D173" s="32" t="s">
        <v>523</v>
      </c>
      <c r="E173" s="32" t="s">
        <v>524</v>
      </c>
      <c r="F173" s="33" t="s">
        <v>327</v>
      </c>
      <c r="G173" s="43">
        <v>206</v>
      </c>
      <c r="H173" s="32" t="s">
        <v>20</v>
      </c>
      <c r="I173" s="32" t="s">
        <v>372</v>
      </c>
      <c r="J173" s="43">
        <v>4.4000000000000004</v>
      </c>
      <c r="K173" s="32">
        <v>1.52</v>
      </c>
      <c r="L173" s="45">
        <v>35</v>
      </c>
      <c r="M173" s="34" t="s">
        <v>290</v>
      </c>
      <c r="N173" s="56">
        <v>6.94</v>
      </c>
      <c r="O173" s="72">
        <v>4.33</v>
      </c>
      <c r="P173" s="32"/>
      <c r="R173" s="1" t="s">
        <v>812</v>
      </c>
    </row>
    <row r="174" spans="1:21" hidden="1" x14ac:dyDescent="0.25">
      <c r="A174" s="17" t="s">
        <v>83</v>
      </c>
      <c r="B174" s="17">
        <v>6</v>
      </c>
      <c r="C174" s="17">
        <v>153</v>
      </c>
      <c r="D174" s="17" t="s">
        <v>634</v>
      </c>
      <c r="E174" s="17" t="s">
        <v>531</v>
      </c>
      <c r="F174" s="18" t="s">
        <v>635</v>
      </c>
      <c r="G174" s="17">
        <v>314</v>
      </c>
      <c r="H174" s="17" t="s">
        <v>87</v>
      </c>
      <c r="I174" s="43" t="s">
        <v>580</v>
      </c>
      <c r="J174" s="45">
        <v>5.19</v>
      </c>
      <c r="K174" s="17">
        <v>1.82</v>
      </c>
      <c r="L174" s="45">
        <v>31</v>
      </c>
      <c r="M174" s="47" t="s">
        <v>181</v>
      </c>
      <c r="N174" s="17">
        <v>7.75</v>
      </c>
      <c r="O174" s="17">
        <v>4.84</v>
      </c>
      <c r="P174" s="17"/>
      <c r="R174" s="1" t="s">
        <v>812</v>
      </c>
    </row>
    <row r="175" spans="1:21" hidden="1" x14ac:dyDescent="0.25">
      <c r="A175" s="11" t="s">
        <v>32</v>
      </c>
      <c r="B175" s="11">
        <v>6</v>
      </c>
      <c r="C175" s="11">
        <v>159</v>
      </c>
      <c r="D175" s="11" t="s">
        <v>311</v>
      </c>
      <c r="E175" s="11" t="s">
        <v>201</v>
      </c>
      <c r="F175" s="42" t="s">
        <v>312</v>
      </c>
      <c r="G175" s="43">
        <v>220</v>
      </c>
      <c r="H175" s="43" t="s">
        <v>48</v>
      </c>
      <c r="I175" s="11" t="s">
        <v>313</v>
      </c>
      <c r="J175" s="11"/>
      <c r="K175" s="11"/>
      <c r="L175" s="11"/>
      <c r="M175" s="13"/>
      <c r="N175" s="11"/>
      <c r="O175" s="11"/>
      <c r="P175" s="11"/>
      <c r="T175" s="38">
        <v>872</v>
      </c>
      <c r="U175" s="1">
        <v>9</v>
      </c>
    </row>
    <row r="176" spans="1:21" hidden="1" x14ac:dyDescent="0.25">
      <c r="A176" s="14" t="s">
        <v>99</v>
      </c>
      <c r="B176" s="14">
        <v>6</v>
      </c>
      <c r="C176" s="14">
        <v>160</v>
      </c>
      <c r="D176" s="14" t="s">
        <v>318</v>
      </c>
      <c r="E176" s="14" t="s">
        <v>279</v>
      </c>
      <c r="F176" s="15" t="s">
        <v>119</v>
      </c>
      <c r="G176" s="14">
        <v>234</v>
      </c>
      <c r="H176" s="14" t="s">
        <v>44</v>
      </c>
      <c r="I176" s="14" t="s">
        <v>78</v>
      </c>
      <c r="J176" s="14">
        <v>4.5199999999999996</v>
      </c>
      <c r="K176" s="14">
        <v>1.61</v>
      </c>
      <c r="L176" s="43">
        <v>36</v>
      </c>
      <c r="M176" s="16" t="s">
        <v>254</v>
      </c>
      <c r="N176" s="60">
        <v>7.21</v>
      </c>
      <c r="O176" s="60">
        <v>4.2699999999999996</v>
      </c>
      <c r="P176" s="14"/>
      <c r="Q176" s="1" t="s">
        <v>648</v>
      </c>
      <c r="R176" s="1" t="s">
        <v>812</v>
      </c>
      <c r="S176" s="1" t="s">
        <v>767</v>
      </c>
      <c r="T176" s="38">
        <v>533</v>
      </c>
      <c r="U176" s="1"/>
    </row>
    <row r="177" spans="1:21" hidden="1" x14ac:dyDescent="0.25">
      <c r="A177" s="14" t="s">
        <v>99</v>
      </c>
      <c r="B177" s="14">
        <v>6</v>
      </c>
      <c r="C177" s="14">
        <v>165</v>
      </c>
      <c r="D177" s="14" t="s">
        <v>154</v>
      </c>
      <c r="E177" s="14" t="s">
        <v>24</v>
      </c>
      <c r="F177" s="42" t="s">
        <v>155</v>
      </c>
      <c r="G177" s="45">
        <v>246</v>
      </c>
      <c r="H177" s="14" t="s">
        <v>31</v>
      </c>
      <c r="I177" s="45" t="s">
        <v>127</v>
      </c>
      <c r="J177" s="14"/>
      <c r="K177" s="14"/>
      <c r="L177" s="14"/>
      <c r="M177" s="16"/>
      <c r="N177" s="14"/>
      <c r="O177" s="14"/>
      <c r="P177" s="14"/>
      <c r="Q177" s="1" t="s">
        <v>648</v>
      </c>
      <c r="R177" s="1" t="s">
        <v>813</v>
      </c>
      <c r="S177" s="1" t="s">
        <v>738</v>
      </c>
      <c r="T177" s="38">
        <v>448</v>
      </c>
      <c r="U177" s="1">
        <v>2</v>
      </c>
    </row>
    <row r="178" spans="1:21" hidden="1" x14ac:dyDescent="0.25">
      <c r="A178" s="20" t="s">
        <v>54</v>
      </c>
      <c r="B178" s="20">
        <v>6</v>
      </c>
      <c r="C178" s="20">
        <v>170</v>
      </c>
      <c r="D178" s="20" t="s">
        <v>620</v>
      </c>
      <c r="E178" s="20" t="s">
        <v>344</v>
      </c>
      <c r="F178" s="44" t="s">
        <v>96</v>
      </c>
      <c r="G178" s="20">
        <v>325</v>
      </c>
      <c r="H178" s="20" t="s">
        <v>171</v>
      </c>
      <c r="I178" s="43" t="s">
        <v>609</v>
      </c>
      <c r="J178" s="45">
        <v>5.15</v>
      </c>
      <c r="K178" s="20">
        <v>1.77</v>
      </c>
      <c r="L178" s="20">
        <v>30</v>
      </c>
      <c r="M178" s="47" t="s">
        <v>443</v>
      </c>
      <c r="N178" s="20">
        <v>7.9</v>
      </c>
      <c r="O178" s="20"/>
      <c r="P178" s="20"/>
      <c r="R178" s="1" t="s">
        <v>813</v>
      </c>
    </row>
    <row r="179" spans="1:21" hidden="1" x14ac:dyDescent="0.25">
      <c r="A179" s="29" t="s">
        <v>69</v>
      </c>
      <c r="B179" s="29">
        <v>6</v>
      </c>
      <c r="C179" s="29">
        <v>170</v>
      </c>
      <c r="D179" s="29" t="s">
        <v>472</v>
      </c>
      <c r="E179" s="29" t="s">
        <v>279</v>
      </c>
      <c r="F179" s="30" t="s">
        <v>312</v>
      </c>
      <c r="G179" s="29">
        <v>227</v>
      </c>
      <c r="H179" s="29" t="s">
        <v>122</v>
      </c>
      <c r="I179" s="29" t="s">
        <v>473</v>
      </c>
      <c r="J179" s="45">
        <v>4.62</v>
      </c>
      <c r="K179" s="29">
        <v>1.62</v>
      </c>
      <c r="L179" s="45">
        <v>34.5</v>
      </c>
      <c r="M179" s="31" t="s">
        <v>254</v>
      </c>
      <c r="N179" s="29">
        <v>7.15</v>
      </c>
      <c r="O179" s="58">
        <v>4.2699999999999996</v>
      </c>
      <c r="P179" s="29"/>
      <c r="Q179" s="1" t="s">
        <v>661</v>
      </c>
      <c r="R179" s="1" t="s">
        <v>812</v>
      </c>
      <c r="S179" s="1" t="s">
        <v>768</v>
      </c>
    </row>
    <row r="180" spans="1:21" hidden="1" x14ac:dyDescent="0.25">
      <c r="A180" s="26" t="s">
        <v>36</v>
      </c>
      <c r="B180" s="26">
        <v>6</v>
      </c>
      <c r="C180" s="26">
        <v>170</v>
      </c>
      <c r="D180" s="26" t="s">
        <v>528</v>
      </c>
      <c r="E180" s="26" t="s">
        <v>24</v>
      </c>
      <c r="F180" s="42" t="s">
        <v>327</v>
      </c>
      <c r="G180" s="43">
        <v>257</v>
      </c>
      <c r="H180" s="26" t="s">
        <v>529</v>
      </c>
      <c r="I180" s="26" t="s">
        <v>473</v>
      </c>
      <c r="J180" s="26"/>
      <c r="K180" s="26"/>
      <c r="L180" s="26"/>
      <c r="M180" s="28"/>
      <c r="N180" s="26"/>
      <c r="O180" s="26"/>
      <c r="P180" s="26"/>
      <c r="R180" s="1" t="s">
        <v>812</v>
      </c>
      <c r="S180" s="1" t="s">
        <v>839</v>
      </c>
    </row>
    <row r="181" spans="1:21" x14ac:dyDescent="0.25">
      <c r="A181" s="23" t="s">
        <v>834</v>
      </c>
      <c r="B181" s="23">
        <v>6</v>
      </c>
      <c r="C181" s="23">
        <v>170</v>
      </c>
      <c r="D181" s="23" t="s">
        <v>533</v>
      </c>
      <c r="E181" s="23" t="s">
        <v>42</v>
      </c>
      <c r="F181" s="42" t="s">
        <v>327</v>
      </c>
      <c r="G181" s="23">
        <v>274</v>
      </c>
      <c r="H181" s="23" t="s">
        <v>57</v>
      </c>
      <c r="I181" s="43" t="s">
        <v>58</v>
      </c>
      <c r="J181" s="43">
        <v>4.87</v>
      </c>
      <c r="K181" s="23">
        <v>1.7</v>
      </c>
      <c r="L181" s="23"/>
      <c r="M181" s="25"/>
      <c r="N181" s="23"/>
      <c r="O181" s="23"/>
      <c r="P181" s="23"/>
      <c r="Q181" s="1" t="s">
        <v>661</v>
      </c>
      <c r="R181" s="1" t="s">
        <v>812</v>
      </c>
      <c r="S181" s="1" t="s">
        <v>858</v>
      </c>
    </row>
    <row r="182" spans="1:21" hidden="1" x14ac:dyDescent="0.25">
      <c r="A182" s="17" t="s">
        <v>83</v>
      </c>
      <c r="B182" s="17">
        <v>6</v>
      </c>
      <c r="C182" s="17">
        <v>174</v>
      </c>
      <c r="D182" s="17" t="s">
        <v>619</v>
      </c>
      <c r="E182" s="17" t="s">
        <v>138</v>
      </c>
      <c r="F182" s="18" t="s">
        <v>96</v>
      </c>
      <c r="G182" s="17">
        <v>314</v>
      </c>
      <c r="H182" s="17">
        <v>10</v>
      </c>
      <c r="I182" s="43" t="s">
        <v>606</v>
      </c>
      <c r="J182" s="17">
        <v>5.28</v>
      </c>
      <c r="K182" s="17">
        <v>1.85</v>
      </c>
      <c r="L182" s="45">
        <v>29.5</v>
      </c>
      <c r="M182" s="46" t="s">
        <v>516</v>
      </c>
      <c r="N182" s="17">
        <v>7.88</v>
      </c>
      <c r="O182" s="17"/>
      <c r="P182" s="17"/>
      <c r="R182" s="1" t="s">
        <v>813</v>
      </c>
    </row>
    <row r="183" spans="1:21" hidden="1" x14ac:dyDescent="0.25">
      <c r="A183" s="11" t="s">
        <v>32</v>
      </c>
      <c r="B183" s="11">
        <v>6</v>
      </c>
      <c r="C183" s="11">
        <v>175</v>
      </c>
      <c r="D183" s="11" t="s">
        <v>389</v>
      </c>
      <c r="E183" s="11" t="s">
        <v>166</v>
      </c>
      <c r="F183" s="12"/>
      <c r="G183" s="43">
        <v>216</v>
      </c>
      <c r="H183" s="43" t="s">
        <v>132</v>
      </c>
      <c r="I183" s="11" t="s">
        <v>195</v>
      </c>
      <c r="J183" s="43">
        <v>4.3099999999999996</v>
      </c>
      <c r="K183" s="11">
        <v>1.48</v>
      </c>
      <c r="L183" s="43">
        <v>42</v>
      </c>
      <c r="M183" s="13" t="s">
        <v>73</v>
      </c>
      <c r="N183" s="11"/>
      <c r="O183" s="11"/>
      <c r="P183" s="11"/>
      <c r="R183" s="1" t="s">
        <v>811</v>
      </c>
      <c r="T183" s="38">
        <v>478</v>
      </c>
      <c r="U183" s="1">
        <v>6</v>
      </c>
    </row>
    <row r="184" spans="1:21" hidden="1" x14ac:dyDescent="0.25">
      <c r="A184" s="32" t="s">
        <v>22</v>
      </c>
      <c r="B184" s="32">
        <v>6</v>
      </c>
      <c r="C184" s="32">
        <v>175</v>
      </c>
      <c r="D184" s="32" t="s">
        <v>468</v>
      </c>
      <c r="E184" s="32" t="s">
        <v>51</v>
      </c>
      <c r="F184" s="33" t="s">
        <v>469</v>
      </c>
      <c r="G184" s="43">
        <v>211</v>
      </c>
      <c r="H184" s="32" t="s">
        <v>470</v>
      </c>
      <c r="I184" s="32" t="s">
        <v>21</v>
      </c>
      <c r="J184" s="32"/>
      <c r="K184" s="32"/>
      <c r="L184" s="32"/>
      <c r="M184" s="34"/>
      <c r="N184" s="32"/>
      <c r="O184" s="32"/>
      <c r="P184" s="32"/>
      <c r="Q184" s="1" t="s">
        <v>648</v>
      </c>
      <c r="S184" s="1" t="s">
        <v>733</v>
      </c>
    </row>
    <row r="185" spans="1:21" hidden="1" x14ac:dyDescent="0.25">
      <c r="A185" s="20" t="s">
        <v>54</v>
      </c>
      <c r="B185" s="20">
        <v>6</v>
      </c>
      <c r="C185" s="20">
        <v>175</v>
      </c>
      <c r="D185" s="20" t="s">
        <v>615</v>
      </c>
      <c r="E185" s="20" t="s">
        <v>262</v>
      </c>
      <c r="F185" s="42" t="s">
        <v>56</v>
      </c>
      <c r="G185" s="20">
        <v>313</v>
      </c>
      <c r="H185" s="20" t="s">
        <v>108</v>
      </c>
      <c r="I185" s="43" t="s">
        <v>609</v>
      </c>
      <c r="J185" s="43">
        <v>4.9400000000000004</v>
      </c>
      <c r="K185" s="20">
        <v>1.74</v>
      </c>
      <c r="L185" s="43">
        <v>35</v>
      </c>
      <c r="M185" s="46" t="s">
        <v>266</v>
      </c>
      <c r="N185" s="20"/>
      <c r="O185" s="20"/>
      <c r="P185" s="20"/>
      <c r="R185" s="1" t="s">
        <v>811</v>
      </c>
    </row>
    <row r="186" spans="1:21" hidden="1" x14ac:dyDescent="0.25">
      <c r="A186" s="17" t="s">
        <v>83</v>
      </c>
      <c r="B186" s="17">
        <v>6</v>
      </c>
      <c r="C186" s="17">
        <v>175</v>
      </c>
      <c r="D186" s="17" t="s">
        <v>518</v>
      </c>
      <c r="E186" s="17" t="s">
        <v>252</v>
      </c>
      <c r="F186" s="18" t="s">
        <v>327</v>
      </c>
      <c r="G186" s="17">
        <v>313</v>
      </c>
      <c r="H186" s="17" t="s">
        <v>108</v>
      </c>
      <c r="I186" s="43" t="s">
        <v>235</v>
      </c>
      <c r="J186" s="43">
        <v>5.01</v>
      </c>
      <c r="K186" s="17">
        <v>1.76</v>
      </c>
      <c r="L186" s="17">
        <v>26.5</v>
      </c>
      <c r="M186" s="19" t="s">
        <v>89</v>
      </c>
      <c r="N186" s="17"/>
      <c r="O186" s="17"/>
      <c r="P186" s="17"/>
      <c r="R186" s="1" t="s">
        <v>813</v>
      </c>
    </row>
    <row r="187" spans="1:21" hidden="1" x14ac:dyDescent="0.25">
      <c r="A187" s="17" t="s">
        <v>83</v>
      </c>
      <c r="B187" s="17">
        <v>6</v>
      </c>
      <c r="C187" s="17">
        <v>177</v>
      </c>
      <c r="D187" s="17" t="s">
        <v>545</v>
      </c>
      <c r="E187" s="17" t="s">
        <v>546</v>
      </c>
      <c r="F187" s="18" t="s">
        <v>547</v>
      </c>
      <c r="G187" s="17">
        <v>301</v>
      </c>
      <c r="H187" s="17" t="s">
        <v>529</v>
      </c>
      <c r="I187" s="45" t="s">
        <v>92</v>
      </c>
      <c r="J187" s="17">
        <v>5.25</v>
      </c>
      <c r="K187" s="17">
        <v>1.82</v>
      </c>
      <c r="L187" s="43">
        <v>32.5</v>
      </c>
      <c r="M187" s="47" t="s">
        <v>173</v>
      </c>
      <c r="N187" s="54">
        <v>7.65</v>
      </c>
      <c r="O187" s="54">
        <v>4.8</v>
      </c>
      <c r="P187" s="17"/>
    </row>
    <row r="188" spans="1:21" hidden="1" x14ac:dyDescent="0.25">
      <c r="A188" s="17" t="s">
        <v>83</v>
      </c>
      <c r="B188" s="17">
        <v>6</v>
      </c>
      <c r="C188" s="17">
        <v>178</v>
      </c>
      <c r="D188" s="17" t="s">
        <v>551</v>
      </c>
      <c r="E188" s="17" t="s">
        <v>279</v>
      </c>
      <c r="F188" s="18" t="s">
        <v>151</v>
      </c>
      <c r="G188" s="17">
        <v>319</v>
      </c>
      <c r="H188" s="17" t="s">
        <v>122</v>
      </c>
      <c r="I188" s="43" t="s">
        <v>235</v>
      </c>
      <c r="J188" s="17"/>
      <c r="K188" s="17"/>
      <c r="L188" s="17">
        <v>24.5</v>
      </c>
      <c r="M188" s="47" t="s">
        <v>173</v>
      </c>
      <c r="N188" s="17">
        <v>7.8</v>
      </c>
      <c r="O188" s="17">
        <v>4.7300000000000004</v>
      </c>
      <c r="P188" s="17"/>
      <c r="Q188" s="1" t="s">
        <v>648</v>
      </c>
      <c r="S188" s="1" t="s">
        <v>766</v>
      </c>
    </row>
    <row r="189" spans="1:21" hidden="1" x14ac:dyDescent="0.25">
      <c r="A189" s="8" t="s">
        <v>27</v>
      </c>
      <c r="B189" s="8">
        <v>6</v>
      </c>
      <c r="C189" s="8">
        <v>179</v>
      </c>
      <c r="D189" s="8" t="s">
        <v>294</v>
      </c>
      <c r="E189" s="8" t="s">
        <v>140</v>
      </c>
      <c r="F189" s="9" t="s">
        <v>188</v>
      </c>
      <c r="G189" s="45">
        <v>208</v>
      </c>
      <c r="H189" s="8">
        <v>9</v>
      </c>
      <c r="I189" s="8" t="s">
        <v>45</v>
      </c>
      <c r="J189" s="72">
        <v>4.62</v>
      </c>
      <c r="K189" s="8"/>
      <c r="L189" s="43">
        <v>37.5</v>
      </c>
      <c r="M189" s="10" t="s">
        <v>128</v>
      </c>
      <c r="N189" s="8"/>
      <c r="O189" s="58">
        <v>4.26</v>
      </c>
      <c r="P189" s="57">
        <v>14</v>
      </c>
      <c r="Q189" s="1" t="s">
        <v>648</v>
      </c>
      <c r="R189" s="1" t="s">
        <v>811</v>
      </c>
      <c r="S189" s="1" t="s">
        <v>780</v>
      </c>
      <c r="T189" s="38">
        <v>470</v>
      </c>
      <c r="U189" s="1">
        <v>3</v>
      </c>
    </row>
    <row r="190" spans="1:21" hidden="1" x14ac:dyDescent="0.25">
      <c r="A190" s="17" t="s">
        <v>83</v>
      </c>
      <c r="B190" s="17">
        <v>6</v>
      </c>
      <c r="C190" s="17">
        <v>180</v>
      </c>
      <c r="D190" s="17" t="s">
        <v>613</v>
      </c>
      <c r="E190" s="17" t="s">
        <v>397</v>
      </c>
      <c r="F190" s="18" t="s">
        <v>56</v>
      </c>
      <c r="G190" s="17">
        <v>315</v>
      </c>
      <c r="H190" s="17" t="s">
        <v>148</v>
      </c>
      <c r="I190" s="17" t="s">
        <v>68</v>
      </c>
      <c r="J190" s="17">
        <v>5.35</v>
      </c>
      <c r="K190" s="17">
        <v>1.82</v>
      </c>
      <c r="L190" s="72">
        <v>30</v>
      </c>
      <c r="M190" s="19" t="s">
        <v>614</v>
      </c>
      <c r="N190" s="54">
        <v>7.6</v>
      </c>
      <c r="O190" s="54">
        <v>4.8499999999999996</v>
      </c>
      <c r="P190" s="17"/>
      <c r="R190" s="1" t="s">
        <v>812</v>
      </c>
    </row>
    <row r="191" spans="1:21" hidden="1" x14ac:dyDescent="0.25">
      <c r="A191" s="17" t="s">
        <v>83</v>
      </c>
      <c r="B191" s="17">
        <v>6</v>
      </c>
      <c r="C191" s="17">
        <v>180</v>
      </c>
      <c r="D191" s="17" t="s">
        <v>553</v>
      </c>
      <c r="E191" s="17" t="s">
        <v>309</v>
      </c>
      <c r="F191" s="18" t="s">
        <v>151</v>
      </c>
      <c r="G191" s="17">
        <v>312</v>
      </c>
      <c r="H191" s="17" t="s">
        <v>116</v>
      </c>
      <c r="I191" s="45" t="s">
        <v>40</v>
      </c>
      <c r="J191" s="43">
        <v>4.9400000000000004</v>
      </c>
      <c r="K191" s="17">
        <v>1.76</v>
      </c>
      <c r="L191" s="17">
        <v>28</v>
      </c>
      <c r="M191" s="46" t="s">
        <v>93</v>
      </c>
      <c r="N191" s="54">
        <v>7.62</v>
      </c>
      <c r="O191" s="54">
        <v>4.5199999999999996</v>
      </c>
      <c r="P191" s="54">
        <v>28</v>
      </c>
    </row>
    <row r="192" spans="1:21" hidden="1" x14ac:dyDescent="0.25">
      <c r="A192" s="17" t="s">
        <v>83</v>
      </c>
      <c r="B192" s="17">
        <v>6</v>
      </c>
      <c r="C192" s="17">
        <v>180</v>
      </c>
      <c r="D192" s="17" t="s">
        <v>577</v>
      </c>
      <c r="E192" s="17" t="s">
        <v>246</v>
      </c>
      <c r="F192" s="18" t="s">
        <v>71</v>
      </c>
      <c r="G192" s="17">
        <v>316</v>
      </c>
      <c r="H192" s="17" t="s">
        <v>39</v>
      </c>
      <c r="I192" s="45" t="s">
        <v>123</v>
      </c>
      <c r="J192" s="45">
        <v>5.22</v>
      </c>
      <c r="K192" s="17">
        <v>1.85</v>
      </c>
      <c r="L192" s="45">
        <v>29</v>
      </c>
      <c r="M192" s="19" t="s">
        <v>578</v>
      </c>
      <c r="N192" s="17">
        <v>7.5</v>
      </c>
      <c r="O192" s="17">
        <v>4.75</v>
      </c>
      <c r="P192" s="17"/>
    </row>
    <row r="193" spans="1:21" hidden="1" x14ac:dyDescent="0.25">
      <c r="A193" s="11" t="s">
        <v>32</v>
      </c>
      <c r="B193" s="11">
        <v>6</v>
      </c>
      <c r="C193" s="11">
        <v>180</v>
      </c>
      <c r="D193" s="11" t="s">
        <v>287</v>
      </c>
      <c r="E193" s="11" t="s">
        <v>115</v>
      </c>
      <c r="F193" s="12"/>
      <c r="G193" s="43">
        <v>209</v>
      </c>
      <c r="H193" s="45" t="s">
        <v>20</v>
      </c>
      <c r="I193" s="11" t="s">
        <v>26</v>
      </c>
      <c r="J193" s="11">
        <v>4.5</v>
      </c>
      <c r="K193" s="11">
        <v>1.58</v>
      </c>
      <c r="L193" s="43">
        <v>39</v>
      </c>
      <c r="M193" s="13" t="s">
        <v>288</v>
      </c>
      <c r="N193" s="11"/>
      <c r="O193" s="11"/>
      <c r="P193" s="11"/>
      <c r="Q193" s="1" t="s">
        <v>661</v>
      </c>
      <c r="R193" s="1" t="s">
        <v>812</v>
      </c>
      <c r="S193" s="1" t="s">
        <v>663</v>
      </c>
      <c r="T193" s="38">
        <v>279</v>
      </c>
      <c r="U193" s="1">
        <v>2</v>
      </c>
    </row>
    <row r="194" spans="1:21" hidden="1" x14ac:dyDescent="0.25">
      <c r="A194" s="11" t="s">
        <v>32</v>
      </c>
      <c r="B194" s="11">
        <v>6</v>
      </c>
      <c r="C194" s="11">
        <v>180</v>
      </c>
      <c r="D194" s="11" t="s">
        <v>291</v>
      </c>
      <c r="E194" s="11" t="s">
        <v>115</v>
      </c>
      <c r="F194" s="12"/>
      <c r="G194" s="43">
        <v>218</v>
      </c>
      <c r="H194" s="45" t="s">
        <v>20</v>
      </c>
      <c r="I194" s="11" t="s">
        <v>21</v>
      </c>
      <c r="J194" s="45">
        <v>4.49</v>
      </c>
      <c r="K194" s="11"/>
      <c r="L194" s="11"/>
      <c r="M194" s="13"/>
      <c r="N194" s="11"/>
      <c r="O194" s="11"/>
      <c r="P194" s="11"/>
      <c r="Q194" s="1" t="s">
        <v>648</v>
      </c>
      <c r="R194" s="1" t="s">
        <v>813</v>
      </c>
      <c r="S194" s="1" t="s">
        <v>664</v>
      </c>
      <c r="T194" s="38">
        <v>358</v>
      </c>
      <c r="U194" s="1">
        <v>1</v>
      </c>
    </row>
    <row r="195" spans="1:21" hidden="1" x14ac:dyDescent="0.25">
      <c r="A195" s="11" t="s">
        <v>32</v>
      </c>
      <c r="B195" s="11">
        <v>6</v>
      </c>
      <c r="C195" s="11">
        <v>180</v>
      </c>
      <c r="D195" s="11" t="s">
        <v>289</v>
      </c>
      <c r="E195" s="11" t="s">
        <v>264</v>
      </c>
      <c r="F195" s="12"/>
      <c r="G195" s="11">
        <v>176</v>
      </c>
      <c r="H195" s="11">
        <v>9</v>
      </c>
      <c r="I195" s="11" t="s">
        <v>78</v>
      </c>
      <c r="J195" s="43">
        <v>4.3499999999999996</v>
      </c>
      <c r="K195" s="11">
        <v>1.52</v>
      </c>
      <c r="L195" s="45">
        <v>37</v>
      </c>
      <c r="M195" s="13" t="s">
        <v>290</v>
      </c>
      <c r="N195" s="11"/>
      <c r="O195" s="11"/>
      <c r="P195" s="11"/>
      <c r="T195" s="38">
        <v>556</v>
      </c>
      <c r="U195" s="1">
        <v>1</v>
      </c>
    </row>
    <row r="196" spans="1:21" hidden="1" x14ac:dyDescent="0.25">
      <c r="A196" s="17" t="s">
        <v>83</v>
      </c>
      <c r="B196" s="17">
        <v>6</v>
      </c>
      <c r="C196" s="17">
        <v>180</v>
      </c>
      <c r="D196" s="17" t="s">
        <v>632</v>
      </c>
      <c r="E196" s="17" t="s">
        <v>460</v>
      </c>
      <c r="F196" s="18" t="s">
        <v>180</v>
      </c>
      <c r="G196" s="17">
        <v>319</v>
      </c>
      <c r="H196" s="17" t="s">
        <v>116</v>
      </c>
      <c r="I196" s="45" t="s">
        <v>461</v>
      </c>
      <c r="J196" s="17">
        <v>5.36</v>
      </c>
      <c r="K196" s="17">
        <v>1.86</v>
      </c>
      <c r="L196" s="45">
        <v>29.5</v>
      </c>
      <c r="M196" s="19" t="s">
        <v>633</v>
      </c>
      <c r="N196" s="54">
        <v>7.89</v>
      </c>
      <c r="O196" s="54">
        <v>4.9000000000000004</v>
      </c>
      <c r="P196" s="17"/>
    </row>
    <row r="197" spans="1:21" hidden="1" x14ac:dyDescent="0.25">
      <c r="A197" s="11" t="s">
        <v>32</v>
      </c>
      <c r="B197" s="11">
        <v>6</v>
      </c>
      <c r="C197" s="11">
        <v>180</v>
      </c>
      <c r="D197" s="11" t="s">
        <v>258</v>
      </c>
      <c r="E197" s="11" t="s">
        <v>259</v>
      </c>
      <c r="F197" s="12" t="s">
        <v>260</v>
      </c>
      <c r="G197" s="11">
        <v>164</v>
      </c>
      <c r="H197" s="11">
        <v>9</v>
      </c>
      <c r="I197" s="11" t="s">
        <v>209</v>
      </c>
      <c r="J197" s="43">
        <v>4.26</v>
      </c>
      <c r="K197" s="11">
        <v>1.54</v>
      </c>
      <c r="L197" s="11"/>
      <c r="M197" s="13"/>
      <c r="N197" s="11"/>
      <c r="O197" s="11"/>
      <c r="P197" s="11"/>
      <c r="S197" s="1" t="s">
        <v>706</v>
      </c>
      <c r="T197" s="38">
        <v>1054</v>
      </c>
      <c r="U197" s="1">
        <v>6</v>
      </c>
    </row>
    <row r="198" spans="1:21" hidden="1" x14ac:dyDescent="0.25">
      <c r="A198" s="11" t="s">
        <v>32</v>
      </c>
      <c r="B198" s="11">
        <v>6</v>
      </c>
      <c r="C198" s="11">
        <v>180</v>
      </c>
      <c r="D198" s="11" t="s">
        <v>395</v>
      </c>
      <c r="E198" s="11" t="s">
        <v>344</v>
      </c>
      <c r="F198" s="12"/>
      <c r="G198" s="45">
        <v>192</v>
      </c>
      <c r="H198" s="11" t="s">
        <v>374</v>
      </c>
      <c r="I198" s="11" t="s">
        <v>127</v>
      </c>
      <c r="J198" s="11">
        <v>4.54</v>
      </c>
      <c r="K198" s="11">
        <v>1.58</v>
      </c>
      <c r="L198" s="11"/>
      <c r="M198" s="13"/>
      <c r="N198" s="11"/>
      <c r="O198" s="11"/>
      <c r="P198" s="11"/>
      <c r="T198" s="38">
        <v>934</v>
      </c>
      <c r="U198" s="1">
        <v>4</v>
      </c>
    </row>
    <row r="199" spans="1:21" hidden="1" x14ac:dyDescent="0.25">
      <c r="A199" s="20" t="s">
        <v>54</v>
      </c>
      <c r="B199" s="20">
        <v>6</v>
      </c>
      <c r="C199" s="20">
        <v>180</v>
      </c>
      <c r="D199" s="20" t="s">
        <v>616</v>
      </c>
      <c r="E199" s="20" t="s">
        <v>29</v>
      </c>
      <c r="F199" s="42" t="s">
        <v>617</v>
      </c>
      <c r="G199" s="20">
        <v>306</v>
      </c>
      <c r="H199" s="20" t="s">
        <v>108</v>
      </c>
      <c r="I199" s="43" t="s">
        <v>595</v>
      </c>
      <c r="J199" s="43">
        <v>5.01</v>
      </c>
      <c r="K199" s="20">
        <v>1.79</v>
      </c>
      <c r="L199" s="20">
        <v>29.5</v>
      </c>
      <c r="M199" s="47" t="s">
        <v>181</v>
      </c>
      <c r="N199" s="20"/>
      <c r="O199" s="20"/>
      <c r="P199" s="20"/>
      <c r="R199" s="1" t="s">
        <v>813</v>
      </c>
    </row>
    <row r="200" spans="1:21" hidden="1" x14ac:dyDescent="0.25">
      <c r="A200" s="17" t="s">
        <v>83</v>
      </c>
      <c r="B200" s="17">
        <v>6</v>
      </c>
      <c r="C200" s="17">
        <v>180</v>
      </c>
      <c r="D200" s="17" t="s">
        <v>557</v>
      </c>
      <c r="E200" s="17" t="s">
        <v>558</v>
      </c>
      <c r="F200" s="18" t="s">
        <v>151</v>
      </c>
      <c r="G200" s="17">
        <v>305</v>
      </c>
      <c r="H200" s="17" t="s">
        <v>39</v>
      </c>
      <c r="I200" s="17" t="s">
        <v>172</v>
      </c>
      <c r="J200" s="17"/>
      <c r="K200" s="17"/>
      <c r="L200" s="54">
        <v>28</v>
      </c>
      <c r="M200" s="67"/>
      <c r="N200" s="54">
        <v>8.33</v>
      </c>
      <c r="O200" s="54">
        <v>4.96</v>
      </c>
      <c r="P200" s="54">
        <v>21</v>
      </c>
    </row>
    <row r="201" spans="1:21" hidden="1" x14ac:dyDescent="0.25">
      <c r="A201" s="14" t="s">
        <v>99</v>
      </c>
      <c r="B201" s="14">
        <v>6</v>
      </c>
      <c r="C201" s="14">
        <v>180</v>
      </c>
      <c r="D201" s="14" t="s">
        <v>365</v>
      </c>
      <c r="E201" s="14" t="s">
        <v>366</v>
      </c>
      <c r="F201" s="44" t="s">
        <v>96</v>
      </c>
      <c r="G201" s="43">
        <v>267</v>
      </c>
      <c r="H201" s="43">
        <v>10</v>
      </c>
      <c r="I201" s="14" t="s">
        <v>141</v>
      </c>
      <c r="J201" s="14">
        <v>4.7</v>
      </c>
      <c r="K201" s="14">
        <v>1.61</v>
      </c>
      <c r="L201" s="43">
        <v>38.5</v>
      </c>
      <c r="M201" s="16" t="s">
        <v>288</v>
      </c>
      <c r="N201" s="60">
        <v>7.02</v>
      </c>
      <c r="O201" s="60">
        <v>4.2699999999999996</v>
      </c>
      <c r="P201" s="14"/>
      <c r="R201" s="1" t="s">
        <v>811</v>
      </c>
      <c r="T201" s="38">
        <v>545</v>
      </c>
      <c r="U201" s="1">
        <v>2</v>
      </c>
    </row>
    <row r="202" spans="1:21" hidden="1" x14ac:dyDescent="0.25">
      <c r="A202" s="17" t="s">
        <v>83</v>
      </c>
      <c r="B202" s="17">
        <v>6</v>
      </c>
      <c r="C202" s="17">
        <v>180</v>
      </c>
      <c r="D202" s="17" t="s">
        <v>519</v>
      </c>
      <c r="E202" s="17" t="s">
        <v>162</v>
      </c>
      <c r="F202" s="18" t="s">
        <v>327</v>
      </c>
      <c r="G202" s="17">
        <v>316</v>
      </c>
      <c r="H202" s="17">
        <v>10</v>
      </c>
      <c r="I202" s="17" t="s">
        <v>168</v>
      </c>
      <c r="J202" s="43">
        <v>5.0199999999999996</v>
      </c>
      <c r="K202" s="17">
        <v>1.75</v>
      </c>
      <c r="L202" s="17">
        <v>28.5</v>
      </c>
      <c r="M202" s="19" t="s">
        <v>89</v>
      </c>
      <c r="N202" s="17"/>
      <c r="O202" s="17"/>
      <c r="P202" s="17"/>
    </row>
    <row r="203" spans="1:21" hidden="1" x14ac:dyDescent="0.25">
      <c r="A203" s="17" t="s">
        <v>83</v>
      </c>
      <c r="B203" s="17">
        <v>6</v>
      </c>
      <c r="C203" s="17">
        <v>180</v>
      </c>
      <c r="D203" s="17" t="s">
        <v>593</v>
      </c>
      <c r="E203" s="17" t="s">
        <v>42</v>
      </c>
      <c r="F203" s="18" t="s">
        <v>71</v>
      </c>
      <c r="G203" s="17">
        <v>333</v>
      </c>
      <c r="H203" s="17" t="s">
        <v>108</v>
      </c>
      <c r="I203" s="43" t="s">
        <v>135</v>
      </c>
      <c r="J203" s="17"/>
      <c r="K203" s="17"/>
      <c r="L203" s="17"/>
      <c r="M203" s="19"/>
      <c r="N203" s="17"/>
      <c r="O203" s="17"/>
      <c r="P203" s="17"/>
    </row>
    <row r="204" spans="1:21" hidden="1" x14ac:dyDescent="0.25">
      <c r="A204" s="29" t="s">
        <v>69</v>
      </c>
      <c r="B204" s="29">
        <v>6</v>
      </c>
      <c r="C204" s="29">
        <v>180</v>
      </c>
      <c r="D204" s="29" t="s">
        <v>520</v>
      </c>
      <c r="E204" s="29" t="s">
        <v>276</v>
      </c>
      <c r="F204" s="30" t="s">
        <v>327</v>
      </c>
      <c r="G204" s="29">
        <v>229</v>
      </c>
      <c r="H204" s="29" t="s">
        <v>87</v>
      </c>
      <c r="I204" s="29" t="s">
        <v>458</v>
      </c>
      <c r="J204" s="43">
        <v>4.53</v>
      </c>
      <c r="K204" s="29">
        <v>1.56</v>
      </c>
      <c r="L204" s="43">
        <v>37</v>
      </c>
      <c r="M204" s="31" t="s">
        <v>254</v>
      </c>
      <c r="N204" s="29">
        <v>7.24</v>
      </c>
      <c r="O204" s="45">
        <v>4.3600000000000003</v>
      </c>
      <c r="P204" s="29"/>
      <c r="R204" s="1" t="s">
        <v>812</v>
      </c>
    </row>
    <row r="205" spans="1:21" hidden="1" x14ac:dyDescent="0.25">
      <c r="A205" s="29" t="s">
        <v>69</v>
      </c>
      <c r="B205" s="29">
        <v>6</v>
      </c>
      <c r="C205" s="29">
        <v>180</v>
      </c>
      <c r="D205" s="29" t="s">
        <v>486</v>
      </c>
      <c r="E205" s="29" t="s">
        <v>276</v>
      </c>
      <c r="F205" s="30" t="s">
        <v>119</v>
      </c>
      <c r="G205" s="45">
        <v>234</v>
      </c>
      <c r="H205" s="29">
        <v>9</v>
      </c>
      <c r="I205" s="29" t="s">
        <v>117</v>
      </c>
      <c r="J205" s="43">
        <v>4.47</v>
      </c>
      <c r="K205" s="29">
        <v>1.59</v>
      </c>
      <c r="L205" s="43">
        <v>40</v>
      </c>
      <c r="M205" s="31" t="s">
        <v>199</v>
      </c>
      <c r="N205" s="29"/>
      <c r="O205" s="45">
        <v>4.41</v>
      </c>
      <c r="P205" s="29"/>
      <c r="R205" s="1" t="s">
        <v>811</v>
      </c>
      <c r="S205" s="1" t="s">
        <v>815</v>
      </c>
    </row>
    <row r="206" spans="1:21" hidden="1" x14ac:dyDescent="0.25">
      <c r="A206" s="17" t="s">
        <v>83</v>
      </c>
      <c r="B206" s="17">
        <v>6</v>
      </c>
      <c r="C206" s="17">
        <v>180</v>
      </c>
      <c r="D206" s="17" t="s">
        <v>592</v>
      </c>
      <c r="E206" s="17" t="s">
        <v>18</v>
      </c>
      <c r="F206" s="18" t="s">
        <v>71</v>
      </c>
      <c r="G206" s="17">
        <v>311</v>
      </c>
      <c r="H206" s="17" t="s">
        <v>148</v>
      </c>
      <c r="I206" s="17" t="s">
        <v>68</v>
      </c>
      <c r="J206" s="17"/>
      <c r="K206" s="17"/>
      <c r="L206" s="17"/>
      <c r="M206" s="19"/>
      <c r="N206" s="17"/>
      <c r="O206" s="17"/>
      <c r="P206" s="17"/>
      <c r="Q206" s="1" t="s">
        <v>648</v>
      </c>
      <c r="R206" s="1" t="s">
        <v>813</v>
      </c>
      <c r="S206" s="1" t="s">
        <v>687</v>
      </c>
    </row>
    <row r="207" spans="1:21" x14ac:dyDescent="0.25">
      <c r="A207" s="23" t="s">
        <v>834</v>
      </c>
      <c r="B207" s="23">
        <v>6</v>
      </c>
      <c r="C207" s="23">
        <v>180</v>
      </c>
      <c r="D207" s="23" t="s">
        <v>497</v>
      </c>
      <c r="E207" s="23" t="s">
        <v>309</v>
      </c>
      <c r="F207" s="24" t="s">
        <v>119</v>
      </c>
      <c r="G207" s="43">
        <v>308</v>
      </c>
      <c r="H207" s="23">
        <v>10</v>
      </c>
      <c r="I207" s="23" t="s">
        <v>467</v>
      </c>
      <c r="J207" s="43">
        <v>4.88</v>
      </c>
      <c r="K207" s="23">
        <v>1.68</v>
      </c>
      <c r="L207" s="43">
        <v>32</v>
      </c>
      <c r="M207" s="25">
        <v>46235</v>
      </c>
      <c r="N207" s="23"/>
      <c r="O207" s="23"/>
      <c r="P207" s="43">
        <v>37</v>
      </c>
    </row>
    <row r="208" spans="1:21" hidden="1" x14ac:dyDescent="0.25">
      <c r="A208" s="26" t="s">
        <v>36</v>
      </c>
      <c r="B208" s="26">
        <v>6</v>
      </c>
      <c r="C208" s="26">
        <v>180</v>
      </c>
      <c r="D208" s="26" t="s">
        <v>494</v>
      </c>
      <c r="E208" s="26" t="s">
        <v>175</v>
      </c>
      <c r="F208" s="27" t="s">
        <v>119</v>
      </c>
      <c r="G208" s="43">
        <v>273</v>
      </c>
      <c r="H208" s="26" t="s">
        <v>39</v>
      </c>
      <c r="I208" s="26">
        <v>32</v>
      </c>
      <c r="J208" s="26"/>
      <c r="K208" s="26"/>
      <c r="L208" s="26"/>
      <c r="M208" s="28"/>
      <c r="N208" s="26"/>
      <c r="O208" s="26"/>
      <c r="P208" s="43">
        <v>28</v>
      </c>
      <c r="Q208" s="1" t="s">
        <v>648</v>
      </c>
      <c r="R208" s="1" t="s">
        <v>812</v>
      </c>
      <c r="S208" s="1" t="s">
        <v>853</v>
      </c>
    </row>
    <row r="209" spans="1:21" hidden="1" x14ac:dyDescent="0.25">
      <c r="A209" s="20" t="s">
        <v>54</v>
      </c>
      <c r="B209" s="20">
        <v>6</v>
      </c>
      <c r="C209" s="20">
        <v>185</v>
      </c>
      <c r="D209" s="20" t="s">
        <v>607</v>
      </c>
      <c r="E209" s="20" t="s">
        <v>531</v>
      </c>
      <c r="F209" s="42" t="s">
        <v>608</v>
      </c>
      <c r="G209" s="20">
        <v>314</v>
      </c>
      <c r="H209" s="20" t="s">
        <v>238</v>
      </c>
      <c r="I209" s="43" t="s">
        <v>609</v>
      </c>
      <c r="J209" s="43">
        <v>5.08</v>
      </c>
      <c r="K209" s="20">
        <v>1.75</v>
      </c>
      <c r="L209" s="43">
        <v>34.5</v>
      </c>
      <c r="M209" s="46" t="s">
        <v>240</v>
      </c>
      <c r="N209" s="20"/>
      <c r="O209" s="20"/>
      <c r="P209" s="55">
        <v>24</v>
      </c>
      <c r="R209" s="1" t="s">
        <v>812</v>
      </c>
      <c r="S209" s="1" t="s">
        <v>825</v>
      </c>
    </row>
    <row r="210" spans="1:21" hidden="1" x14ac:dyDescent="0.25">
      <c r="A210" s="8" t="s">
        <v>27</v>
      </c>
      <c r="B210" s="8">
        <v>6</v>
      </c>
      <c r="C210" s="8">
        <v>185</v>
      </c>
      <c r="D210" s="8" t="s">
        <v>255</v>
      </c>
      <c r="E210" s="8" t="s">
        <v>101</v>
      </c>
      <c r="F210" s="9" t="s">
        <v>226</v>
      </c>
      <c r="G210" s="45">
        <v>205</v>
      </c>
      <c r="H210" s="8" t="s">
        <v>256</v>
      </c>
      <c r="I210" s="8" t="s">
        <v>257</v>
      </c>
      <c r="J210" s="8"/>
      <c r="K210" s="8"/>
      <c r="L210" s="8"/>
      <c r="M210" s="10"/>
      <c r="N210" s="8"/>
      <c r="O210" s="8"/>
      <c r="P210" s="8">
        <v>24</v>
      </c>
      <c r="Q210" s="1" t="s">
        <v>648</v>
      </c>
      <c r="R210" s="1" t="s">
        <v>812</v>
      </c>
      <c r="S210" s="1" t="s">
        <v>779</v>
      </c>
      <c r="T210" s="38">
        <v>829</v>
      </c>
      <c r="U210" s="1">
        <v>6</v>
      </c>
    </row>
    <row r="211" spans="1:21" hidden="1" x14ac:dyDescent="0.25">
      <c r="A211" s="32" t="s">
        <v>22</v>
      </c>
      <c r="B211" s="32">
        <v>6</v>
      </c>
      <c r="C211" s="32">
        <v>185</v>
      </c>
      <c r="D211" s="32" t="s">
        <v>504</v>
      </c>
      <c r="E211" s="32" t="s">
        <v>397</v>
      </c>
      <c r="F211" s="33" t="s">
        <v>47</v>
      </c>
      <c r="G211" s="43">
        <v>208</v>
      </c>
      <c r="H211" s="32" t="s">
        <v>256</v>
      </c>
      <c r="I211" s="32" t="s">
        <v>505</v>
      </c>
      <c r="J211" s="43">
        <v>4.4800000000000004</v>
      </c>
      <c r="K211" s="32">
        <v>1.62</v>
      </c>
      <c r="L211" s="43">
        <v>37.5</v>
      </c>
      <c r="M211" s="34"/>
      <c r="N211" s="56">
        <v>6.94</v>
      </c>
      <c r="O211" s="72">
        <v>4.3899999999999997</v>
      </c>
      <c r="P211" s="32"/>
      <c r="R211" s="1" t="s">
        <v>811</v>
      </c>
    </row>
    <row r="212" spans="1:21" hidden="1" x14ac:dyDescent="0.25">
      <c r="A212" s="29" t="s">
        <v>69</v>
      </c>
      <c r="B212" s="29">
        <v>6</v>
      </c>
      <c r="C212" s="29">
        <v>185</v>
      </c>
      <c r="D212" s="29" t="s">
        <v>636</v>
      </c>
      <c r="E212" s="29" t="s">
        <v>75</v>
      </c>
      <c r="F212" s="30" t="s">
        <v>635</v>
      </c>
      <c r="G212" s="29">
        <v>221</v>
      </c>
      <c r="H212" s="29" t="s">
        <v>87</v>
      </c>
      <c r="I212" s="29">
        <v>35</v>
      </c>
      <c r="J212" s="58">
        <v>4.59</v>
      </c>
      <c r="K212" s="61"/>
      <c r="L212" s="72">
        <v>35.5</v>
      </c>
      <c r="M212" s="68">
        <v>46299</v>
      </c>
      <c r="N212" s="61">
        <v>6.76</v>
      </c>
      <c r="O212" s="72">
        <v>4.41</v>
      </c>
      <c r="P212" s="61">
        <v>13</v>
      </c>
      <c r="R212" s="1" t="s">
        <v>812</v>
      </c>
    </row>
    <row r="213" spans="1:21" hidden="1" x14ac:dyDescent="0.25">
      <c r="A213" s="8" t="s">
        <v>27</v>
      </c>
      <c r="B213" s="8">
        <v>6</v>
      </c>
      <c r="C213" s="8">
        <v>186</v>
      </c>
      <c r="D213" s="8" t="s">
        <v>307</v>
      </c>
      <c r="E213" s="8" t="s">
        <v>18</v>
      </c>
      <c r="F213" s="9" t="s">
        <v>30</v>
      </c>
      <c r="G213" s="45">
        <v>207</v>
      </c>
      <c r="H213" s="8" t="s">
        <v>20</v>
      </c>
      <c r="I213" s="8">
        <v>31</v>
      </c>
      <c r="J213" s="8"/>
      <c r="K213" s="8"/>
      <c r="L213" s="8"/>
      <c r="M213" s="10"/>
      <c r="N213" s="8"/>
      <c r="O213" s="8"/>
      <c r="P213" s="8"/>
      <c r="Q213" s="1" t="s">
        <v>648</v>
      </c>
      <c r="R213" s="1" t="s">
        <v>813</v>
      </c>
      <c r="S213" s="1" t="s">
        <v>681</v>
      </c>
      <c r="T213" s="38">
        <v>1120</v>
      </c>
      <c r="U213" s="1">
        <v>7</v>
      </c>
    </row>
    <row r="214" spans="1:21" hidden="1" x14ac:dyDescent="0.25">
      <c r="A214" s="8" t="s">
        <v>27</v>
      </c>
      <c r="B214" s="8">
        <v>6</v>
      </c>
      <c r="C214" s="8">
        <v>188</v>
      </c>
      <c r="D214" s="8" t="s">
        <v>295</v>
      </c>
      <c r="E214" s="8" t="s">
        <v>42</v>
      </c>
      <c r="F214" s="9" t="s">
        <v>206</v>
      </c>
      <c r="G214" s="45">
        <v>209</v>
      </c>
      <c r="H214" s="8" t="s">
        <v>77</v>
      </c>
      <c r="I214" s="8" t="s">
        <v>120</v>
      </c>
      <c r="J214" s="43">
        <v>4.42</v>
      </c>
      <c r="K214" s="8">
        <v>1.53</v>
      </c>
      <c r="L214" s="8">
        <v>30.5</v>
      </c>
      <c r="M214" s="10" t="s">
        <v>240</v>
      </c>
      <c r="N214" s="8"/>
      <c r="O214" s="8"/>
      <c r="P214" s="8"/>
      <c r="R214" s="1" t="s">
        <v>812</v>
      </c>
      <c r="T214" s="38">
        <v>504</v>
      </c>
      <c r="U214" s="1">
        <v>3</v>
      </c>
    </row>
    <row r="215" spans="1:21" hidden="1" x14ac:dyDescent="0.25">
      <c r="A215" s="20" t="s">
        <v>54</v>
      </c>
      <c r="B215" s="20">
        <v>6</v>
      </c>
      <c r="C215" s="20">
        <v>189</v>
      </c>
      <c r="D215" s="20" t="s">
        <v>272</v>
      </c>
      <c r="E215" s="20" t="s">
        <v>175</v>
      </c>
      <c r="F215" s="44" t="s">
        <v>273</v>
      </c>
      <c r="G215" s="20">
        <v>318</v>
      </c>
      <c r="H215" s="20" t="s">
        <v>122</v>
      </c>
      <c r="I215" s="45" t="s">
        <v>274</v>
      </c>
      <c r="J215" s="43">
        <v>5.12</v>
      </c>
      <c r="K215" s="20">
        <v>1.77</v>
      </c>
      <c r="L215" s="43">
        <v>32</v>
      </c>
      <c r="M215" s="47" t="s">
        <v>93</v>
      </c>
      <c r="N215" s="20"/>
      <c r="O215" s="20"/>
      <c r="P215" s="20"/>
      <c r="Q215" s="1" t="s">
        <v>648</v>
      </c>
      <c r="R215" s="1" t="s">
        <v>812</v>
      </c>
      <c r="S215" s="1" t="s">
        <v>701</v>
      </c>
    </row>
    <row r="216" spans="1:21" hidden="1" x14ac:dyDescent="0.25">
      <c r="A216" s="8" t="s">
        <v>27</v>
      </c>
      <c r="B216" s="8">
        <v>6</v>
      </c>
      <c r="C216" s="8">
        <v>189</v>
      </c>
      <c r="D216" s="8" t="s">
        <v>304</v>
      </c>
      <c r="E216" s="8" t="s">
        <v>305</v>
      </c>
      <c r="F216" s="9" t="s">
        <v>30</v>
      </c>
      <c r="G216" s="8">
        <v>198</v>
      </c>
      <c r="H216" s="8" t="s">
        <v>20</v>
      </c>
      <c r="I216" s="8" t="s">
        <v>306</v>
      </c>
      <c r="J216" s="43">
        <v>4.4400000000000004</v>
      </c>
      <c r="K216" s="8">
        <v>1.55</v>
      </c>
      <c r="L216" s="45">
        <v>35.5</v>
      </c>
      <c r="M216" s="10" t="s">
        <v>192</v>
      </c>
      <c r="N216" s="58">
        <v>6.55</v>
      </c>
      <c r="O216" s="58">
        <v>4.22</v>
      </c>
      <c r="P216" s="8">
        <v>16</v>
      </c>
      <c r="R216" s="1" t="s">
        <v>811</v>
      </c>
      <c r="T216" s="38">
        <v>499</v>
      </c>
      <c r="U216" s="1">
        <v>3</v>
      </c>
    </row>
    <row r="217" spans="1:21" hidden="1" x14ac:dyDescent="0.25">
      <c r="A217" s="14" t="s">
        <v>99</v>
      </c>
      <c r="B217" s="14">
        <v>6</v>
      </c>
      <c r="C217" s="14">
        <v>190</v>
      </c>
      <c r="D217" s="14" t="s">
        <v>331</v>
      </c>
      <c r="E217" s="14" t="s">
        <v>42</v>
      </c>
      <c r="F217" s="15" t="s">
        <v>332</v>
      </c>
      <c r="G217" s="45">
        <v>245</v>
      </c>
      <c r="H217" s="45" t="s">
        <v>132</v>
      </c>
      <c r="I217" s="14" t="s">
        <v>141</v>
      </c>
      <c r="J217" s="14">
        <v>4.6500000000000004</v>
      </c>
      <c r="K217" s="14">
        <v>1.65</v>
      </c>
      <c r="L217" s="45">
        <v>34</v>
      </c>
      <c r="M217" s="16" t="s">
        <v>330</v>
      </c>
      <c r="N217" s="14"/>
      <c r="O217" s="14"/>
      <c r="P217" s="14"/>
      <c r="Q217" s="1" t="s">
        <v>656</v>
      </c>
      <c r="R217" s="1" t="s">
        <v>813</v>
      </c>
      <c r="S217" s="1" t="s">
        <v>674</v>
      </c>
      <c r="T217" s="38">
        <v>411</v>
      </c>
      <c r="U217" s="1">
        <v>4</v>
      </c>
    </row>
    <row r="218" spans="1:21" hidden="1" x14ac:dyDescent="0.25">
      <c r="A218" s="14" t="s">
        <v>99</v>
      </c>
      <c r="B218" s="14">
        <v>6</v>
      </c>
      <c r="C218" s="14">
        <v>190</v>
      </c>
      <c r="D218" s="14" t="s">
        <v>220</v>
      </c>
      <c r="E218" s="14" t="s">
        <v>166</v>
      </c>
      <c r="F218" s="44" t="s">
        <v>71</v>
      </c>
      <c r="G218" s="45">
        <v>247</v>
      </c>
      <c r="H218" s="43" t="s">
        <v>221</v>
      </c>
      <c r="I218" s="14" t="s">
        <v>103</v>
      </c>
      <c r="J218" s="14"/>
      <c r="K218" s="14"/>
      <c r="L218" s="14"/>
      <c r="M218" s="16"/>
      <c r="N218" s="14"/>
      <c r="O218" s="14"/>
      <c r="P218" s="14"/>
      <c r="R218" s="1" t="s">
        <v>813</v>
      </c>
      <c r="T218" s="38">
        <v>416</v>
      </c>
      <c r="U218" s="1">
        <v>4</v>
      </c>
    </row>
    <row r="219" spans="1:21" hidden="1" x14ac:dyDescent="0.25">
      <c r="A219" s="14" t="s">
        <v>99</v>
      </c>
      <c r="B219" s="14">
        <v>6</v>
      </c>
      <c r="C219" s="14">
        <v>190</v>
      </c>
      <c r="D219" s="14" t="s">
        <v>270</v>
      </c>
      <c r="E219" s="14" t="s">
        <v>138</v>
      </c>
      <c r="F219" s="44" t="s">
        <v>271</v>
      </c>
      <c r="G219" s="45">
        <v>245</v>
      </c>
      <c r="H219" s="43" t="s">
        <v>202</v>
      </c>
      <c r="I219" s="43" t="s">
        <v>195</v>
      </c>
      <c r="J219" s="14"/>
      <c r="K219" s="14"/>
      <c r="L219" s="14"/>
      <c r="M219" s="16"/>
      <c r="N219" s="14"/>
      <c r="O219" s="14"/>
      <c r="P219" s="14"/>
      <c r="T219" s="38">
        <v>198</v>
      </c>
      <c r="U219" s="1">
        <v>3</v>
      </c>
    </row>
    <row r="220" spans="1:21" hidden="1" x14ac:dyDescent="0.25">
      <c r="A220" s="32" t="s">
        <v>22</v>
      </c>
      <c r="B220" s="32">
        <v>6</v>
      </c>
      <c r="C220" s="32">
        <v>190</v>
      </c>
      <c r="D220" s="32" t="s">
        <v>487</v>
      </c>
      <c r="E220" s="32" t="s">
        <v>279</v>
      </c>
      <c r="F220" s="33" t="s">
        <v>119</v>
      </c>
      <c r="G220" s="43">
        <v>205</v>
      </c>
      <c r="H220" s="32" t="s">
        <v>488</v>
      </c>
      <c r="I220" s="32" t="s">
        <v>337</v>
      </c>
      <c r="J220" s="43">
        <v>4.32</v>
      </c>
      <c r="K220" s="32">
        <v>1.51</v>
      </c>
      <c r="L220" s="45">
        <v>35</v>
      </c>
      <c r="M220" s="34" t="s">
        <v>146</v>
      </c>
      <c r="N220" s="56">
        <v>7.14</v>
      </c>
      <c r="O220" s="72">
        <v>4.38</v>
      </c>
      <c r="P220" s="56">
        <v>14</v>
      </c>
      <c r="Q220" s="1" t="s">
        <v>656</v>
      </c>
      <c r="R220" s="1" t="s">
        <v>811</v>
      </c>
      <c r="S220" s="1" t="s">
        <v>760</v>
      </c>
    </row>
    <row r="221" spans="1:21" hidden="1" x14ac:dyDescent="0.25">
      <c r="A221" s="14" t="s">
        <v>99</v>
      </c>
      <c r="B221" s="14">
        <v>6</v>
      </c>
      <c r="C221" s="14">
        <v>190</v>
      </c>
      <c r="D221" s="14" t="s">
        <v>347</v>
      </c>
      <c r="E221" s="14" t="s">
        <v>91</v>
      </c>
      <c r="F221" s="42" t="s">
        <v>38</v>
      </c>
      <c r="G221" s="43">
        <v>253</v>
      </c>
      <c r="H221" s="14" t="s">
        <v>126</v>
      </c>
      <c r="I221" s="43" t="s">
        <v>313</v>
      </c>
      <c r="J221" s="14">
        <v>4.62</v>
      </c>
      <c r="K221" s="14">
        <v>1.62</v>
      </c>
      <c r="L221" s="43">
        <v>35</v>
      </c>
      <c r="M221" s="16" t="s">
        <v>330</v>
      </c>
      <c r="N221" s="14">
        <v>7</v>
      </c>
      <c r="O221" s="14">
        <v>4.18</v>
      </c>
      <c r="P221" s="14"/>
      <c r="T221" s="38">
        <v>620</v>
      </c>
      <c r="U221" s="1">
        <v>6</v>
      </c>
    </row>
    <row r="222" spans="1:21" hidden="1" x14ac:dyDescent="0.25">
      <c r="A222" s="20" t="s">
        <v>54</v>
      </c>
      <c r="B222" s="20">
        <v>6</v>
      </c>
      <c r="C222" s="20">
        <v>190</v>
      </c>
      <c r="D222" s="20" t="s">
        <v>645</v>
      </c>
      <c r="E222" s="20" t="s">
        <v>51</v>
      </c>
      <c r="F222" s="44" t="s">
        <v>646</v>
      </c>
      <c r="G222" s="20">
        <v>346</v>
      </c>
      <c r="H222" s="20">
        <v>9</v>
      </c>
      <c r="I222" s="43" t="s">
        <v>647</v>
      </c>
      <c r="J222" s="20">
        <v>5.36</v>
      </c>
      <c r="K222" s="20">
        <v>1.84</v>
      </c>
      <c r="L222" s="20"/>
      <c r="M222" s="22"/>
      <c r="N222" s="20"/>
      <c r="O222" s="20"/>
      <c r="P222" s="20"/>
      <c r="Q222" s="1" t="s">
        <v>661</v>
      </c>
      <c r="R222" s="1" t="s">
        <v>813</v>
      </c>
      <c r="S222" s="1" t="s">
        <v>720</v>
      </c>
    </row>
    <row r="223" spans="1:21" hidden="1" x14ac:dyDescent="0.25">
      <c r="A223" s="29" t="s">
        <v>69</v>
      </c>
      <c r="B223" s="29">
        <v>6</v>
      </c>
      <c r="C223" s="29">
        <v>190</v>
      </c>
      <c r="D223" s="29" t="s">
        <v>425</v>
      </c>
      <c r="E223" s="29" t="s">
        <v>42</v>
      </c>
      <c r="F223" s="30" t="s">
        <v>30</v>
      </c>
      <c r="G223" s="29">
        <v>223</v>
      </c>
      <c r="H223" s="29">
        <v>10</v>
      </c>
      <c r="I223" s="29" t="s">
        <v>426</v>
      </c>
      <c r="J223" s="43">
        <v>4.57</v>
      </c>
      <c r="K223" s="29">
        <v>1.6</v>
      </c>
      <c r="L223" s="43">
        <v>38.5</v>
      </c>
      <c r="M223" s="31" t="s">
        <v>146</v>
      </c>
      <c r="N223" s="29"/>
      <c r="O223" s="29"/>
      <c r="P223" s="29"/>
      <c r="R223" s="1" t="s">
        <v>812</v>
      </c>
      <c r="S223" s="1" t="s">
        <v>688</v>
      </c>
    </row>
    <row r="224" spans="1:21" hidden="1" x14ac:dyDescent="0.25">
      <c r="A224" s="29" t="s">
        <v>69</v>
      </c>
      <c r="B224" s="29">
        <v>6</v>
      </c>
      <c r="C224" s="29">
        <v>190</v>
      </c>
      <c r="D224" s="29" t="s">
        <v>466</v>
      </c>
      <c r="E224" s="29" t="s">
        <v>18</v>
      </c>
      <c r="F224" s="30" t="s">
        <v>191</v>
      </c>
      <c r="G224" s="45">
        <v>232</v>
      </c>
      <c r="H224" s="29" t="s">
        <v>39</v>
      </c>
      <c r="I224" s="29" t="s">
        <v>467</v>
      </c>
      <c r="J224" s="29"/>
      <c r="K224" s="29"/>
      <c r="L224" s="29"/>
      <c r="M224" s="31"/>
      <c r="N224" s="29"/>
      <c r="O224" s="29"/>
      <c r="P224" s="29"/>
      <c r="S224" s="1" t="s">
        <v>728</v>
      </c>
    </row>
    <row r="225" spans="1:24" hidden="1" x14ac:dyDescent="0.25">
      <c r="A225" s="8" t="s">
        <v>27</v>
      </c>
      <c r="B225" s="8">
        <v>6</v>
      </c>
      <c r="C225" s="8">
        <v>190</v>
      </c>
      <c r="D225" s="8" t="s">
        <v>418</v>
      </c>
      <c r="E225" s="8" t="s">
        <v>419</v>
      </c>
      <c r="F225" s="9" t="s">
        <v>420</v>
      </c>
      <c r="G225" s="8">
        <v>196</v>
      </c>
      <c r="H225" s="8" t="s">
        <v>31</v>
      </c>
      <c r="I225" s="8" t="s">
        <v>303</v>
      </c>
      <c r="J225" s="45">
        <v>4.5199999999999996</v>
      </c>
      <c r="K225" s="8">
        <v>1.62</v>
      </c>
      <c r="L225" s="43">
        <v>37</v>
      </c>
      <c r="M225" s="10" t="s">
        <v>199</v>
      </c>
      <c r="N225" s="72">
        <v>7.11</v>
      </c>
      <c r="O225" s="58">
        <v>4.0999999999999996</v>
      </c>
      <c r="P225" s="57">
        <v>17</v>
      </c>
      <c r="R225" s="1" t="s">
        <v>811</v>
      </c>
      <c r="T225" s="38">
        <v>1045</v>
      </c>
      <c r="U225" s="1">
        <v>9</v>
      </c>
    </row>
    <row r="226" spans="1:24" hidden="1" x14ac:dyDescent="0.25">
      <c r="A226" s="8" t="s">
        <v>27</v>
      </c>
      <c r="B226" s="8">
        <v>6</v>
      </c>
      <c r="C226" s="8">
        <v>190</v>
      </c>
      <c r="D226" s="8" t="s">
        <v>292</v>
      </c>
      <c r="E226" s="8" t="s">
        <v>293</v>
      </c>
      <c r="F226" s="9" t="s">
        <v>188</v>
      </c>
      <c r="G226" s="8">
        <v>199</v>
      </c>
      <c r="H226" s="8">
        <v>9</v>
      </c>
      <c r="I226" s="8">
        <v>30</v>
      </c>
      <c r="J226" s="8">
        <v>4.63</v>
      </c>
      <c r="K226" s="8"/>
      <c r="L226" s="45">
        <v>34.5</v>
      </c>
      <c r="M226" s="10" t="s">
        <v>240</v>
      </c>
      <c r="N226" s="8"/>
      <c r="O226" s="8"/>
      <c r="P226" s="8">
        <v>20</v>
      </c>
      <c r="S226" s="1" t="s">
        <v>789</v>
      </c>
      <c r="T226" s="38">
        <v>1062</v>
      </c>
      <c r="U226" s="1">
        <v>14</v>
      </c>
    </row>
    <row r="227" spans="1:24" hidden="1" x14ac:dyDescent="0.25">
      <c r="A227" s="32" t="s">
        <v>22</v>
      </c>
      <c r="B227" s="32">
        <v>6</v>
      </c>
      <c r="C227" s="32">
        <v>191</v>
      </c>
      <c r="D227" s="32" t="s">
        <v>525</v>
      </c>
      <c r="E227" s="32" t="s">
        <v>205</v>
      </c>
      <c r="F227" s="33" t="s">
        <v>327</v>
      </c>
      <c r="G227" s="43">
        <v>205</v>
      </c>
      <c r="H227" s="32">
        <v>10</v>
      </c>
      <c r="I227" s="32" t="s">
        <v>386</v>
      </c>
      <c r="J227" s="32"/>
      <c r="K227" s="32"/>
      <c r="L227" s="43">
        <v>39.5</v>
      </c>
      <c r="M227" s="34" t="s">
        <v>325</v>
      </c>
      <c r="N227" s="32"/>
      <c r="O227" s="32"/>
      <c r="P227" s="32"/>
    </row>
    <row r="228" spans="1:24" hidden="1" x14ac:dyDescent="0.25">
      <c r="A228" s="32" t="s">
        <v>22</v>
      </c>
      <c r="B228" s="32">
        <v>6</v>
      </c>
      <c r="C228" s="32">
        <v>191</v>
      </c>
      <c r="D228" s="32" t="s">
        <v>406</v>
      </c>
      <c r="E228" s="32" t="s">
        <v>407</v>
      </c>
      <c r="F228" s="33" t="s">
        <v>243</v>
      </c>
      <c r="G228" s="32">
        <v>192</v>
      </c>
      <c r="H228" s="32" t="s">
        <v>31</v>
      </c>
      <c r="I228" s="32" t="s">
        <v>45</v>
      </c>
      <c r="J228" s="43">
        <v>4.41</v>
      </c>
      <c r="K228" s="32">
        <v>1.59</v>
      </c>
      <c r="L228" s="43">
        <v>36</v>
      </c>
      <c r="M228" s="34" t="s">
        <v>254</v>
      </c>
      <c r="N228" s="32"/>
      <c r="O228" s="32"/>
      <c r="P228" s="32"/>
    </row>
    <row r="229" spans="1:24" x14ac:dyDescent="0.25">
      <c r="A229" s="23" t="s">
        <v>834</v>
      </c>
      <c r="B229" s="23">
        <v>6</v>
      </c>
      <c r="C229" s="23"/>
      <c r="D229" s="23" t="s">
        <v>511</v>
      </c>
      <c r="E229" s="23" t="s">
        <v>201</v>
      </c>
      <c r="F229" s="42" t="s">
        <v>67</v>
      </c>
      <c r="G229" s="23">
        <v>293</v>
      </c>
      <c r="H229" s="23" t="s">
        <v>39</v>
      </c>
      <c r="I229" s="23">
        <v>32</v>
      </c>
      <c r="J229" s="43">
        <v>4.88</v>
      </c>
      <c r="K229" s="23">
        <v>1.69</v>
      </c>
      <c r="L229" s="23"/>
      <c r="M229" s="25"/>
      <c r="N229" s="23"/>
      <c r="O229" s="45">
        <v>4.68</v>
      </c>
      <c r="P229" s="23"/>
    </row>
    <row r="230" spans="1:24" x14ac:dyDescent="0.25">
      <c r="A230" s="23" t="s">
        <v>834</v>
      </c>
      <c r="B230" s="23">
        <v>6</v>
      </c>
      <c r="C230" s="23"/>
      <c r="D230" s="23" t="s">
        <v>480</v>
      </c>
      <c r="E230" s="23" t="s">
        <v>481</v>
      </c>
      <c r="F230" s="24" t="s">
        <v>119</v>
      </c>
      <c r="G230" s="23">
        <v>291</v>
      </c>
      <c r="H230" s="23" t="s">
        <v>39</v>
      </c>
      <c r="I230" s="23">
        <v>33</v>
      </c>
      <c r="J230" s="43">
        <v>4.79</v>
      </c>
      <c r="K230" s="23">
        <v>1.69</v>
      </c>
      <c r="L230" s="43">
        <v>33</v>
      </c>
      <c r="M230" s="25" t="s">
        <v>136</v>
      </c>
      <c r="N230" s="23"/>
      <c r="O230" s="45">
        <v>4.71</v>
      </c>
      <c r="P230" s="23"/>
    </row>
    <row r="231" spans="1:24" x14ac:dyDescent="0.25">
      <c r="A231" s="23" t="s">
        <v>834</v>
      </c>
      <c r="B231" s="23">
        <v>6</v>
      </c>
      <c r="C231" s="23"/>
      <c r="D231" s="23" t="s">
        <v>552</v>
      </c>
      <c r="E231" s="23" t="s">
        <v>246</v>
      </c>
      <c r="F231" s="44" t="s">
        <v>151</v>
      </c>
      <c r="G231" s="43">
        <v>310</v>
      </c>
      <c r="H231" s="23" t="s">
        <v>39</v>
      </c>
      <c r="I231" s="23">
        <v>33</v>
      </c>
      <c r="J231" s="23">
        <v>5.13</v>
      </c>
      <c r="K231" s="23">
        <v>1.79</v>
      </c>
      <c r="L231" s="43">
        <v>32</v>
      </c>
      <c r="M231" s="25" t="s">
        <v>181</v>
      </c>
      <c r="N231" s="23">
        <v>8.02</v>
      </c>
      <c r="O231" s="45">
        <v>4.76</v>
      </c>
      <c r="P231" s="23"/>
    </row>
    <row r="232" spans="1:24" hidden="1" x14ac:dyDescent="0.25">
      <c r="A232" s="35" t="s">
        <v>59</v>
      </c>
      <c r="B232" s="35">
        <v>6</v>
      </c>
      <c r="C232" s="35"/>
      <c r="D232" s="35" t="s">
        <v>492</v>
      </c>
      <c r="E232" s="35" t="s">
        <v>370</v>
      </c>
      <c r="F232" s="44" t="s">
        <v>119</v>
      </c>
      <c r="G232" s="35">
        <v>182</v>
      </c>
      <c r="H232" s="35" t="s">
        <v>132</v>
      </c>
      <c r="I232" s="35" t="s">
        <v>209</v>
      </c>
      <c r="J232" s="35"/>
      <c r="K232" s="35"/>
      <c r="L232" s="43">
        <v>43.5</v>
      </c>
      <c r="M232" s="37"/>
      <c r="N232" s="35"/>
      <c r="O232" s="35"/>
      <c r="P232" s="35"/>
    </row>
    <row r="233" spans="1:24" hidden="1" x14ac:dyDescent="0.25">
      <c r="A233" s="35" t="s">
        <v>59</v>
      </c>
      <c r="B233" s="35">
        <v>6</v>
      </c>
      <c r="C233" s="35"/>
      <c r="D233" s="35" t="s">
        <v>538</v>
      </c>
      <c r="E233" s="35" t="s">
        <v>175</v>
      </c>
      <c r="F233" s="44" t="s">
        <v>329</v>
      </c>
      <c r="G233" s="35">
        <v>182</v>
      </c>
      <c r="H233" s="35" t="s">
        <v>158</v>
      </c>
      <c r="I233" s="43" t="s">
        <v>152</v>
      </c>
      <c r="J233" s="43">
        <v>4.42</v>
      </c>
      <c r="K233" s="35">
        <v>1.51</v>
      </c>
      <c r="L233" s="43">
        <v>39</v>
      </c>
      <c r="M233" s="37">
        <v>46296</v>
      </c>
      <c r="N233" s="35"/>
      <c r="O233" s="35"/>
      <c r="P233" s="35"/>
      <c r="Q233" s="1" t="s">
        <v>661</v>
      </c>
      <c r="S233" s="1" t="s">
        <v>703</v>
      </c>
    </row>
    <row r="234" spans="1:24" hidden="1" x14ac:dyDescent="0.25">
      <c r="A234" s="35" t="s">
        <v>59</v>
      </c>
      <c r="B234" s="35">
        <v>6</v>
      </c>
      <c r="C234" s="35"/>
      <c r="D234" s="35" t="s">
        <v>403</v>
      </c>
      <c r="E234" s="35" t="s">
        <v>125</v>
      </c>
      <c r="F234" s="36" t="s">
        <v>404</v>
      </c>
      <c r="G234" s="35">
        <v>186</v>
      </c>
      <c r="H234" s="35" t="s">
        <v>113</v>
      </c>
      <c r="I234" s="35">
        <v>31</v>
      </c>
      <c r="J234" s="35"/>
      <c r="K234" s="35"/>
      <c r="L234" s="45">
        <v>34</v>
      </c>
      <c r="M234" s="37" t="s">
        <v>98</v>
      </c>
      <c r="N234" s="35"/>
      <c r="O234" s="35"/>
      <c r="P234" s="35">
        <v>17</v>
      </c>
    </row>
    <row r="235" spans="1:24" hidden="1" x14ac:dyDescent="0.25">
      <c r="A235" s="35" t="s">
        <v>59</v>
      </c>
      <c r="B235" s="35">
        <v>6</v>
      </c>
      <c r="C235" s="35"/>
      <c r="D235" s="35" t="s">
        <v>448</v>
      </c>
      <c r="E235" s="35" t="s">
        <v>449</v>
      </c>
      <c r="F235" s="44" t="s">
        <v>191</v>
      </c>
      <c r="G235" s="45">
        <v>193</v>
      </c>
      <c r="H235" s="35" t="s">
        <v>132</v>
      </c>
      <c r="I235" s="45" t="s">
        <v>145</v>
      </c>
      <c r="J235" s="58">
        <v>4.4400000000000004</v>
      </c>
      <c r="K235" s="35"/>
      <c r="L235" s="35"/>
      <c r="M235" s="37"/>
      <c r="N235" s="35"/>
      <c r="O235" s="35"/>
      <c r="P235" s="35"/>
    </row>
    <row r="236" spans="1:24" hidden="1" x14ac:dyDescent="0.25">
      <c r="A236" s="35" t="s">
        <v>59</v>
      </c>
      <c r="B236" s="35">
        <v>6</v>
      </c>
      <c r="C236" s="35"/>
      <c r="D236" s="35" t="s">
        <v>401</v>
      </c>
      <c r="E236" s="35" t="s">
        <v>185</v>
      </c>
      <c r="F236" s="36" t="s">
        <v>188</v>
      </c>
      <c r="G236" s="35">
        <v>181</v>
      </c>
      <c r="H236" s="35" t="s">
        <v>126</v>
      </c>
      <c r="I236" s="35">
        <v>30</v>
      </c>
      <c r="J236" s="35"/>
      <c r="K236" s="35"/>
      <c r="L236" s="35"/>
      <c r="M236" s="37"/>
      <c r="N236" s="35"/>
      <c r="O236" s="35"/>
      <c r="P236" s="35"/>
    </row>
    <row r="237" spans="1:24" hidden="1" x14ac:dyDescent="0.25">
      <c r="A237" s="35" t="s">
        <v>59</v>
      </c>
      <c r="B237" s="35">
        <v>6</v>
      </c>
      <c r="C237" s="35"/>
      <c r="D237" s="35" t="s">
        <v>485</v>
      </c>
      <c r="E237" s="35" t="s">
        <v>449</v>
      </c>
      <c r="F237" s="44" t="s">
        <v>119</v>
      </c>
      <c r="G237" s="35">
        <v>187</v>
      </c>
      <c r="H237" s="35" t="s">
        <v>63</v>
      </c>
      <c r="I237" s="35">
        <v>30</v>
      </c>
      <c r="J237" s="35"/>
      <c r="K237" s="35"/>
      <c r="L237" s="35"/>
      <c r="M237" s="37"/>
      <c r="N237" s="35"/>
      <c r="O237" s="35"/>
      <c r="P237" s="35"/>
      <c r="W237" s="1">
        <v>2</v>
      </c>
      <c r="X237" s="1">
        <v>11</v>
      </c>
    </row>
    <row r="238" spans="1:24" hidden="1" x14ac:dyDescent="0.25">
      <c r="A238" s="35" t="s">
        <v>59</v>
      </c>
      <c r="B238" s="35">
        <v>6</v>
      </c>
      <c r="C238" s="35"/>
      <c r="D238" s="35" t="s">
        <v>450</v>
      </c>
      <c r="E238" s="35" t="s">
        <v>125</v>
      </c>
      <c r="F238" s="44" t="s">
        <v>191</v>
      </c>
      <c r="G238" s="45">
        <v>190</v>
      </c>
      <c r="H238" s="35" t="s">
        <v>126</v>
      </c>
      <c r="I238" s="45" t="s">
        <v>303</v>
      </c>
      <c r="J238" s="35"/>
      <c r="K238" s="35"/>
      <c r="L238" s="35"/>
      <c r="M238" s="37"/>
      <c r="N238" s="35"/>
      <c r="O238" s="35"/>
      <c r="P238" s="35"/>
      <c r="Q238" s="1" t="s">
        <v>648</v>
      </c>
      <c r="S238" s="1" t="s">
        <v>754</v>
      </c>
    </row>
    <row r="239" spans="1:24" hidden="1" x14ac:dyDescent="0.25">
      <c r="A239" s="26" t="s">
        <v>36</v>
      </c>
      <c r="B239" s="26">
        <v>6</v>
      </c>
      <c r="C239" s="26"/>
      <c r="D239" s="26" t="s">
        <v>562</v>
      </c>
      <c r="E239" s="26" t="s">
        <v>61</v>
      </c>
      <c r="F239" s="44" t="s">
        <v>151</v>
      </c>
      <c r="G239" s="43">
        <v>258</v>
      </c>
      <c r="H239" s="26">
        <v>10</v>
      </c>
      <c r="I239" s="26" t="s">
        <v>53</v>
      </c>
      <c r="J239" s="26"/>
      <c r="K239" s="26"/>
      <c r="L239" s="26"/>
      <c r="M239" s="28"/>
      <c r="N239" s="26"/>
      <c r="O239" s="26"/>
      <c r="P239" s="26"/>
      <c r="Q239" s="1" t="s">
        <v>648</v>
      </c>
      <c r="R239" s="1" t="s">
        <v>813</v>
      </c>
      <c r="S239" s="1" t="s">
        <v>665</v>
      </c>
    </row>
    <row r="240" spans="1:24" hidden="1" x14ac:dyDescent="0.25">
      <c r="A240" s="26" t="s">
        <v>36</v>
      </c>
      <c r="B240" s="26">
        <v>6</v>
      </c>
      <c r="C240" s="26"/>
      <c r="D240" s="26" t="s">
        <v>596</v>
      </c>
      <c r="E240" s="26" t="s">
        <v>91</v>
      </c>
      <c r="F240" s="44" t="s">
        <v>71</v>
      </c>
      <c r="G240" s="43">
        <v>257</v>
      </c>
      <c r="H240" s="26" t="s">
        <v>529</v>
      </c>
      <c r="I240" s="26" t="s">
        <v>464</v>
      </c>
      <c r="J240" s="59">
        <v>4.59</v>
      </c>
      <c r="K240" s="59"/>
      <c r="L240" s="59">
        <v>32</v>
      </c>
      <c r="M240" s="65">
        <v>46275</v>
      </c>
      <c r="N240" s="59"/>
      <c r="O240" s="26"/>
      <c r="P240" s="59"/>
      <c r="S240" s="1" t="s">
        <v>840</v>
      </c>
    </row>
    <row r="241" spans="1:21" hidden="1" x14ac:dyDescent="0.25">
      <c r="A241" s="26" t="s">
        <v>36</v>
      </c>
      <c r="B241" s="26">
        <v>6</v>
      </c>
      <c r="C241" s="26"/>
      <c r="D241" s="26" t="s">
        <v>597</v>
      </c>
      <c r="E241" s="26" t="s">
        <v>61</v>
      </c>
      <c r="F241" s="44" t="s">
        <v>71</v>
      </c>
      <c r="G241" s="43">
        <v>260</v>
      </c>
      <c r="H241" s="26">
        <v>10</v>
      </c>
      <c r="I241" s="43" t="s">
        <v>135</v>
      </c>
      <c r="J241" s="26"/>
      <c r="K241" s="26"/>
      <c r="L241" s="26"/>
      <c r="M241" s="28"/>
      <c r="N241" s="26"/>
      <c r="O241" s="26"/>
      <c r="P241" s="26"/>
      <c r="Q241" s="1" t="s">
        <v>656</v>
      </c>
      <c r="R241" s="1" t="s">
        <v>812</v>
      </c>
      <c r="S241" s="1" t="s">
        <v>777</v>
      </c>
    </row>
    <row r="242" spans="1:21" x14ac:dyDescent="0.25">
      <c r="A242" s="23" t="s">
        <v>834</v>
      </c>
      <c r="B242" s="23">
        <v>6</v>
      </c>
      <c r="C242" s="23"/>
      <c r="D242" s="23" t="s">
        <v>517</v>
      </c>
      <c r="E242" s="23" t="s">
        <v>140</v>
      </c>
      <c r="F242" s="42" t="s">
        <v>327</v>
      </c>
      <c r="G242" s="23">
        <v>312</v>
      </c>
      <c r="H242" s="23">
        <v>10</v>
      </c>
      <c r="I242" s="43" t="s">
        <v>135</v>
      </c>
      <c r="J242" s="23">
        <v>5.0999999999999996</v>
      </c>
      <c r="K242" s="23">
        <v>1.7</v>
      </c>
      <c r="L242" s="45">
        <v>31.5</v>
      </c>
      <c r="M242" s="25" t="s">
        <v>181</v>
      </c>
      <c r="N242" s="23">
        <v>8.17</v>
      </c>
      <c r="O242" s="23">
        <v>4.91</v>
      </c>
      <c r="P242" s="23"/>
    </row>
    <row r="243" spans="1:21" hidden="1" x14ac:dyDescent="0.25">
      <c r="A243" s="26" t="s">
        <v>36</v>
      </c>
      <c r="B243" s="26">
        <v>6</v>
      </c>
      <c r="C243" s="26"/>
      <c r="D243" s="26" t="s">
        <v>554</v>
      </c>
      <c r="E243" s="26" t="s">
        <v>175</v>
      </c>
      <c r="F243" s="44" t="s">
        <v>151</v>
      </c>
      <c r="G243" s="26">
        <v>245</v>
      </c>
      <c r="H243" s="26">
        <v>9</v>
      </c>
      <c r="I243" s="43" t="s">
        <v>109</v>
      </c>
      <c r="J243" s="26">
        <v>4.66</v>
      </c>
      <c r="K243" s="26">
        <v>1.67</v>
      </c>
      <c r="L243" s="43">
        <v>41</v>
      </c>
      <c r="M243" s="28" t="s">
        <v>192</v>
      </c>
      <c r="N243" s="43">
        <v>7</v>
      </c>
      <c r="O243" s="26"/>
      <c r="P243" s="26"/>
      <c r="R243" s="1" t="s">
        <v>812</v>
      </c>
    </row>
    <row r="244" spans="1:21" hidden="1" x14ac:dyDescent="0.25">
      <c r="A244" s="14" t="s">
        <v>99</v>
      </c>
      <c r="B244" s="14"/>
      <c r="C244" s="14"/>
      <c r="D244" s="14" t="s">
        <v>352</v>
      </c>
      <c r="E244" s="14" t="s">
        <v>85</v>
      </c>
      <c r="F244" s="42" t="s">
        <v>351</v>
      </c>
      <c r="G244" s="43">
        <v>251</v>
      </c>
      <c r="H244" s="45" t="s">
        <v>20</v>
      </c>
      <c r="I244" s="43" t="s">
        <v>353</v>
      </c>
      <c r="J244" s="14">
        <v>4.72</v>
      </c>
      <c r="K244" s="14">
        <v>1.7</v>
      </c>
      <c r="L244" s="45">
        <v>32.5</v>
      </c>
      <c r="M244" s="16" t="s">
        <v>254</v>
      </c>
      <c r="N244" s="14"/>
      <c r="O244" s="14"/>
      <c r="P244" s="14"/>
      <c r="T244" s="38">
        <v>167</v>
      </c>
      <c r="U244" s="1">
        <v>2</v>
      </c>
    </row>
    <row r="245" spans="1:21" hidden="1" x14ac:dyDescent="0.25">
      <c r="A245" s="14" t="s">
        <v>99</v>
      </c>
      <c r="B245" s="14"/>
      <c r="C245" s="14"/>
      <c r="D245" s="14" t="s">
        <v>358</v>
      </c>
      <c r="E245" s="14" t="s">
        <v>24</v>
      </c>
      <c r="F245" s="44" t="s">
        <v>271</v>
      </c>
      <c r="G245" s="43">
        <v>261</v>
      </c>
      <c r="H245" s="45" t="s">
        <v>132</v>
      </c>
      <c r="I245" s="45" t="s">
        <v>283</v>
      </c>
      <c r="J245" s="14">
        <v>4.74</v>
      </c>
      <c r="K245" s="14">
        <v>1.7</v>
      </c>
      <c r="L245" s="43">
        <v>36</v>
      </c>
      <c r="M245" s="16" t="s">
        <v>254</v>
      </c>
      <c r="N245" s="14"/>
      <c r="O245" s="14"/>
      <c r="P245" s="14"/>
      <c r="Q245" s="1" t="s">
        <v>661</v>
      </c>
      <c r="S245" s="1" t="s">
        <v>739</v>
      </c>
      <c r="T245" s="38">
        <v>185</v>
      </c>
      <c r="U245" s="1">
        <v>2</v>
      </c>
    </row>
    <row r="246" spans="1:21" hidden="1" x14ac:dyDescent="0.25">
      <c r="A246" s="3" t="s">
        <v>16</v>
      </c>
      <c r="B246" s="3"/>
      <c r="C246" s="3"/>
      <c r="D246" s="3" t="s">
        <v>314</v>
      </c>
      <c r="E246" s="3" t="s">
        <v>315</v>
      </c>
      <c r="F246" s="4" t="s">
        <v>316</v>
      </c>
      <c r="G246" s="3">
        <v>210</v>
      </c>
      <c r="H246" s="3">
        <v>9</v>
      </c>
      <c r="I246" s="3" t="s">
        <v>317</v>
      </c>
      <c r="J246" s="3">
        <v>4.72</v>
      </c>
      <c r="K246" s="3">
        <v>1.66</v>
      </c>
      <c r="L246" s="3">
        <v>32</v>
      </c>
      <c r="M246" s="7" t="s">
        <v>178</v>
      </c>
      <c r="N246" s="3"/>
      <c r="O246" s="3"/>
      <c r="P246" s="3"/>
      <c r="T246" s="38">
        <v>3007</v>
      </c>
      <c r="U246" s="1">
        <v>22</v>
      </c>
    </row>
    <row r="247" spans="1:21" hidden="1" x14ac:dyDescent="0.25">
      <c r="A247" s="3" t="s">
        <v>16</v>
      </c>
      <c r="B247" s="3"/>
      <c r="C247" s="3"/>
      <c r="D247" s="3" t="s">
        <v>362</v>
      </c>
      <c r="E247" s="3" t="s">
        <v>246</v>
      </c>
      <c r="F247" s="44" t="s">
        <v>363</v>
      </c>
      <c r="G247" s="3">
        <v>227</v>
      </c>
      <c r="H247" s="43" t="s">
        <v>158</v>
      </c>
      <c r="I247" s="3" t="s">
        <v>364</v>
      </c>
      <c r="J247" s="3">
        <v>4.3600000000000003</v>
      </c>
      <c r="K247" s="3">
        <v>1.55</v>
      </c>
      <c r="L247" s="3">
        <v>43.5</v>
      </c>
      <c r="M247" s="7" t="s">
        <v>73</v>
      </c>
      <c r="N247" s="3"/>
      <c r="O247" s="3"/>
      <c r="P247" s="3"/>
      <c r="T247" s="38">
        <v>2714</v>
      </c>
      <c r="U247" s="1">
        <v>19</v>
      </c>
    </row>
    <row r="248" spans="1:21" hidden="1" x14ac:dyDescent="0.25">
      <c r="A248" s="3" t="s">
        <v>16</v>
      </c>
      <c r="B248" s="3"/>
      <c r="C248" s="3"/>
      <c r="D248" s="3" t="s">
        <v>341</v>
      </c>
      <c r="E248" s="3" t="s">
        <v>201</v>
      </c>
      <c r="F248" s="44" t="s">
        <v>342</v>
      </c>
      <c r="G248" s="3">
        <v>216</v>
      </c>
      <c r="H248" s="45" t="s">
        <v>44</v>
      </c>
      <c r="I248" s="3" t="s">
        <v>127</v>
      </c>
      <c r="J248" s="3">
        <v>4.6500000000000004</v>
      </c>
      <c r="K248" s="3">
        <v>1.59</v>
      </c>
      <c r="L248" s="3">
        <v>37.5</v>
      </c>
      <c r="M248" s="7" t="s">
        <v>98</v>
      </c>
      <c r="N248" s="3">
        <v>7.45</v>
      </c>
      <c r="O248" s="3">
        <v>4.46</v>
      </c>
      <c r="P248" s="3"/>
      <c r="T248" s="38">
        <v>3681</v>
      </c>
      <c r="U248" s="1">
        <v>31</v>
      </c>
    </row>
    <row r="249" spans="1:21" hidden="1" x14ac:dyDescent="0.25">
      <c r="A249" s="3" t="s">
        <v>16</v>
      </c>
      <c r="B249" s="3"/>
      <c r="C249" s="3"/>
      <c r="D249" s="3" t="s">
        <v>263</v>
      </c>
      <c r="E249" s="3" t="s">
        <v>264</v>
      </c>
      <c r="F249" s="42" t="s">
        <v>265</v>
      </c>
      <c r="G249" s="3">
        <v>212</v>
      </c>
      <c r="H249" s="3">
        <v>9</v>
      </c>
      <c r="I249" s="3" t="s">
        <v>21</v>
      </c>
      <c r="J249" s="3">
        <v>4.46</v>
      </c>
      <c r="K249" s="3">
        <v>1.56</v>
      </c>
      <c r="L249" s="3">
        <v>33.5</v>
      </c>
      <c r="M249" s="7" t="s">
        <v>266</v>
      </c>
      <c r="N249" s="3">
        <v>6.89</v>
      </c>
      <c r="O249" s="3">
        <v>4.17</v>
      </c>
      <c r="P249" s="3"/>
      <c r="T249" s="38">
        <v>2967</v>
      </c>
      <c r="U249" s="1">
        <v>14</v>
      </c>
    </row>
    <row r="250" spans="1:21" hidden="1" x14ac:dyDescent="0.25">
      <c r="A250" s="14" t="s">
        <v>99</v>
      </c>
      <c r="B250" s="14"/>
      <c r="C250" s="14"/>
      <c r="D250" s="14" t="s">
        <v>369</v>
      </c>
      <c r="E250" s="14" t="s">
        <v>370</v>
      </c>
      <c r="F250" s="44" t="s">
        <v>371</v>
      </c>
      <c r="G250" s="45">
        <v>247</v>
      </c>
      <c r="H250" s="45" t="s">
        <v>132</v>
      </c>
      <c r="I250" s="43" t="s">
        <v>372</v>
      </c>
      <c r="J250" s="14">
        <v>4.7</v>
      </c>
      <c r="K250" s="14">
        <v>1.62</v>
      </c>
      <c r="L250" s="43">
        <v>36.5</v>
      </c>
      <c r="M250" s="16" t="s">
        <v>128</v>
      </c>
      <c r="N250" s="14"/>
      <c r="O250" s="14"/>
      <c r="P250" s="14"/>
      <c r="T250" s="38">
        <v>727</v>
      </c>
      <c r="U250" s="1">
        <v>6</v>
      </c>
    </row>
    <row r="251" spans="1:21" hidden="1" x14ac:dyDescent="0.25">
      <c r="A251" s="14" t="s">
        <v>99</v>
      </c>
      <c r="B251" s="14"/>
      <c r="C251" s="14"/>
      <c r="D251" s="14" t="s">
        <v>321</v>
      </c>
      <c r="E251" s="14" t="s">
        <v>18</v>
      </c>
      <c r="F251" s="15" t="s">
        <v>47</v>
      </c>
      <c r="G251" s="43">
        <v>250</v>
      </c>
      <c r="H251" s="14" t="s">
        <v>77</v>
      </c>
      <c r="I251" s="14" t="s">
        <v>103</v>
      </c>
      <c r="J251" s="14">
        <v>4.66</v>
      </c>
      <c r="K251" s="14">
        <v>1.7</v>
      </c>
      <c r="L251" s="45">
        <v>33.5</v>
      </c>
      <c r="M251" s="16" t="s">
        <v>254</v>
      </c>
      <c r="N251" s="14"/>
      <c r="O251" s="14"/>
      <c r="P251" s="14"/>
      <c r="S251" s="1" t="s">
        <v>676</v>
      </c>
      <c r="T251" s="38">
        <v>387</v>
      </c>
      <c r="U251" s="1">
        <v>2</v>
      </c>
    </row>
    <row r="252" spans="1:21" hidden="1" x14ac:dyDescent="0.25">
      <c r="A252" s="3" t="s">
        <v>16</v>
      </c>
      <c r="B252" s="3"/>
      <c r="C252" s="3"/>
      <c r="D252" s="3" t="s">
        <v>261</v>
      </c>
      <c r="E252" s="3" t="s">
        <v>262</v>
      </c>
      <c r="F252" s="4" t="s">
        <v>230</v>
      </c>
      <c r="G252" s="3">
        <v>219</v>
      </c>
      <c r="H252" s="43" t="s">
        <v>132</v>
      </c>
      <c r="I252" s="3" t="s">
        <v>120</v>
      </c>
      <c r="J252" s="3">
        <v>4.6500000000000004</v>
      </c>
      <c r="K252" s="3">
        <v>1.63</v>
      </c>
      <c r="L252" s="3"/>
      <c r="M252" s="7"/>
      <c r="N252" s="3"/>
      <c r="O252" s="3"/>
      <c r="P252" s="3"/>
      <c r="T252" s="38">
        <v>2531</v>
      </c>
      <c r="U252" s="1">
        <v>22</v>
      </c>
    </row>
    <row r="253" spans="1:21" hidden="1" x14ac:dyDescent="0.25">
      <c r="A253" s="20" t="s">
        <v>54</v>
      </c>
      <c r="B253" s="20"/>
      <c r="C253" s="20"/>
      <c r="D253" s="20" t="s">
        <v>584</v>
      </c>
      <c r="E253" s="20" t="s">
        <v>85</v>
      </c>
      <c r="F253" s="21" t="s">
        <v>71</v>
      </c>
      <c r="G253" s="20">
        <v>313</v>
      </c>
      <c r="H253" s="20" t="s">
        <v>122</v>
      </c>
      <c r="I253" s="45" t="s">
        <v>135</v>
      </c>
      <c r="J253" s="45">
        <v>5.16</v>
      </c>
      <c r="K253" s="20">
        <v>1.79</v>
      </c>
      <c r="L253" s="45">
        <v>31</v>
      </c>
      <c r="M253" s="47" t="s">
        <v>443</v>
      </c>
      <c r="N253" s="20"/>
      <c r="O253" s="20"/>
      <c r="P253" s="20"/>
      <c r="R253" s="1" t="s">
        <v>812</v>
      </c>
    </row>
    <row r="254" spans="1:21" hidden="1" x14ac:dyDescent="0.25">
      <c r="A254" s="14" t="s">
        <v>99</v>
      </c>
      <c r="B254" s="14"/>
      <c r="C254" s="14"/>
      <c r="D254" s="14" t="s">
        <v>355</v>
      </c>
      <c r="E254" s="14" t="s">
        <v>61</v>
      </c>
      <c r="F254" s="42" t="s">
        <v>253</v>
      </c>
      <c r="G254" s="45">
        <v>249</v>
      </c>
      <c r="H254" s="45" t="s">
        <v>132</v>
      </c>
      <c r="I254" s="14" t="s">
        <v>49</v>
      </c>
      <c r="J254" s="14">
        <v>4.63</v>
      </c>
      <c r="K254" s="14">
        <v>1.68</v>
      </c>
      <c r="L254" s="14"/>
      <c r="M254" s="16" t="s">
        <v>192</v>
      </c>
      <c r="N254" s="14"/>
      <c r="O254" s="14"/>
      <c r="P254" s="14"/>
      <c r="T254" s="38">
        <v>252</v>
      </c>
      <c r="U254" s="1">
        <v>2</v>
      </c>
    </row>
    <row r="255" spans="1:21" hidden="1" x14ac:dyDescent="0.25">
      <c r="A255" s="14" t="s">
        <v>99</v>
      </c>
      <c r="B255" s="14"/>
      <c r="C255" s="14"/>
      <c r="D255" s="14" t="s">
        <v>281</v>
      </c>
      <c r="E255" s="14" t="s">
        <v>282</v>
      </c>
      <c r="F255" s="15" t="s">
        <v>107</v>
      </c>
      <c r="G255" s="14">
        <v>241</v>
      </c>
      <c r="H255" s="43" t="s">
        <v>202</v>
      </c>
      <c r="I255" s="45" t="s">
        <v>283</v>
      </c>
      <c r="J255" s="14"/>
      <c r="K255" s="14"/>
      <c r="L255" s="14"/>
      <c r="M255" s="16"/>
      <c r="N255" s="14"/>
      <c r="O255" s="14"/>
      <c r="P255" s="14"/>
      <c r="T255" s="38">
        <v>468</v>
      </c>
      <c r="U255" s="1">
        <v>7</v>
      </c>
    </row>
    <row r="256" spans="1:21" hidden="1" x14ac:dyDescent="0.25">
      <c r="A256" s="11" t="s">
        <v>32</v>
      </c>
      <c r="B256" s="11"/>
      <c r="C256" s="11"/>
      <c r="D256" s="11" t="s">
        <v>379</v>
      </c>
      <c r="E256" s="11" t="s">
        <v>61</v>
      </c>
      <c r="F256" s="12"/>
      <c r="G256" s="45">
        <v>188</v>
      </c>
      <c r="H256" s="45" t="s">
        <v>126</v>
      </c>
      <c r="I256" s="11">
        <v>32</v>
      </c>
      <c r="J256" s="43">
        <v>4.41</v>
      </c>
      <c r="K256" s="11">
        <v>1.57</v>
      </c>
      <c r="L256" s="11">
        <v>34.5</v>
      </c>
      <c r="M256" s="13" t="s">
        <v>128</v>
      </c>
      <c r="N256" s="11">
        <v>7.25</v>
      </c>
      <c r="O256" s="11">
        <v>4.41</v>
      </c>
      <c r="P256" s="11"/>
      <c r="T256" s="38">
        <v>122</v>
      </c>
      <c r="U256" s="1">
        <v>0</v>
      </c>
    </row>
    <row r="257" spans="1:21" hidden="1" x14ac:dyDescent="0.25">
      <c r="A257" s="14" t="s">
        <v>99</v>
      </c>
      <c r="B257" s="14"/>
      <c r="C257" s="14"/>
      <c r="D257" s="14" t="s">
        <v>367</v>
      </c>
      <c r="E257" s="14" t="s">
        <v>29</v>
      </c>
      <c r="F257" s="44" t="s">
        <v>368</v>
      </c>
      <c r="G257" s="45">
        <v>245</v>
      </c>
      <c r="H257" s="43" t="s">
        <v>221</v>
      </c>
      <c r="I257" s="43" t="s">
        <v>159</v>
      </c>
      <c r="J257" s="14">
        <v>4.62</v>
      </c>
      <c r="K257" s="14">
        <v>1.6</v>
      </c>
      <c r="L257" s="43">
        <v>36</v>
      </c>
      <c r="M257" s="16" t="s">
        <v>98</v>
      </c>
      <c r="N257" s="14"/>
      <c r="O257" s="14"/>
      <c r="P257" s="14"/>
      <c r="T257" s="38">
        <v>482</v>
      </c>
      <c r="U257" s="1">
        <v>0</v>
      </c>
    </row>
    <row r="258" spans="1:21" hidden="1" x14ac:dyDescent="0.25">
      <c r="A258" s="11" t="s">
        <v>32</v>
      </c>
      <c r="B258" s="11"/>
      <c r="C258" s="11"/>
      <c r="D258" s="11" t="s">
        <v>380</v>
      </c>
      <c r="E258" s="11" t="s">
        <v>381</v>
      </c>
      <c r="F258" s="12"/>
      <c r="G258" s="43">
        <v>209</v>
      </c>
      <c r="H258" s="43" t="s">
        <v>132</v>
      </c>
      <c r="I258" s="11" t="s">
        <v>103</v>
      </c>
      <c r="J258" s="11">
        <v>4.6399999999999997</v>
      </c>
      <c r="K258" s="11">
        <v>1.6</v>
      </c>
      <c r="L258" s="45">
        <v>37</v>
      </c>
      <c r="M258" s="13" t="s">
        <v>288</v>
      </c>
      <c r="N258" s="11"/>
      <c r="O258" s="11"/>
      <c r="P258" s="11"/>
      <c r="T258" s="38">
        <v>802</v>
      </c>
      <c r="U258" s="1">
        <v>6</v>
      </c>
    </row>
    <row r="259" spans="1:21" hidden="1" x14ac:dyDescent="0.25">
      <c r="A259" s="11" t="s">
        <v>32</v>
      </c>
      <c r="B259" s="11"/>
      <c r="C259" s="11"/>
      <c r="D259" s="11" t="s">
        <v>385</v>
      </c>
      <c r="E259" s="11" t="s">
        <v>175</v>
      </c>
      <c r="F259" s="12"/>
      <c r="G259" s="43">
        <v>207</v>
      </c>
      <c r="H259" s="45" t="s">
        <v>20</v>
      </c>
      <c r="I259" s="11" t="s">
        <v>386</v>
      </c>
      <c r="J259" s="43">
        <v>4.4000000000000004</v>
      </c>
      <c r="K259" s="11">
        <v>1.54</v>
      </c>
      <c r="L259" s="43">
        <v>39</v>
      </c>
      <c r="M259" s="13" t="s">
        <v>142</v>
      </c>
      <c r="N259" s="11"/>
      <c r="O259" s="11"/>
      <c r="P259" s="11"/>
      <c r="T259" s="38">
        <v>406</v>
      </c>
      <c r="U259" s="1">
        <v>3</v>
      </c>
    </row>
    <row r="260" spans="1:21" hidden="1" x14ac:dyDescent="0.25">
      <c r="A260" s="11" t="s">
        <v>32</v>
      </c>
      <c r="B260" s="11"/>
      <c r="C260" s="11"/>
      <c r="D260" s="11" t="s">
        <v>387</v>
      </c>
      <c r="E260" s="11" t="s">
        <v>388</v>
      </c>
      <c r="F260" s="12"/>
      <c r="G260" s="45">
        <v>191</v>
      </c>
      <c r="H260" s="11">
        <v>9</v>
      </c>
      <c r="I260" s="11" t="s">
        <v>82</v>
      </c>
      <c r="J260" s="11">
        <v>4.57</v>
      </c>
      <c r="K260" s="11"/>
      <c r="L260" s="11">
        <v>35</v>
      </c>
      <c r="M260" s="13" t="s">
        <v>142</v>
      </c>
      <c r="N260" s="11"/>
      <c r="O260" s="11"/>
      <c r="P260" s="11"/>
      <c r="T260" s="38">
        <v>847</v>
      </c>
      <c r="U260" s="1">
        <v>8</v>
      </c>
    </row>
    <row r="261" spans="1:21" hidden="1" x14ac:dyDescent="0.25">
      <c r="A261" s="14" t="s">
        <v>99</v>
      </c>
      <c r="B261" s="14"/>
      <c r="C261" s="14"/>
      <c r="D261" s="14" t="s">
        <v>343</v>
      </c>
      <c r="E261" s="14" t="s">
        <v>344</v>
      </c>
      <c r="F261" s="42" t="s">
        <v>151</v>
      </c>
      <c r="G261" s="45">
        <v>246</v>
      </c>
      <c r="H261" s="14" t="s">
        <v>126</v>
      </c>
      <c r="I261" s="45" t="s">
        <v>283</v>
      </c>
      <c r="J261" s="14"/>
      <c r="K261" s="14"/>
      <c r="L261" s="14"/>
      <c r="M261" s="16"/>
      <c r="N261" s="14"/>
      <c r="O261" s="14"/>
      <c r="P261" s="14"/>
      <c r="T261" s="38">
        <v>571</v>
      </c>
      <c r="U261" s="1">
        <v>4</v>
      </c>
    </row>
    <row r="262" spans="1:21" hidden="1" x14ac:dyDescent="0.25">
      <c r="A262" s="11" t="s">
        <v>32</v>
      </c>
      <c r="B262" s="11"/>
      <c r="C262" s="11"/>
      <c r="D262" s="11" t="s">
        <v>373</v>
      </c>
      <c r="E262" s="11" t="s">
        <v>262</v>
      </c>
      <c r="F262" s="12"/>
      <c r="G262" s="45">
        <v>185</v>
      </c>
      <c r="H262" s="11" t="s">
        <v>374</v>
      </c>
      <c r="I262" s="11">
        <v>31</v>
      </c>
      <c r="J262" s="43">
        <v>4.4400000000000004</v>
      </c>
      <c r="K262" s="11">
        <v>1.56</v>
      </c>
      <c r="L262" s="11">
        <v>35</v>
      </c>
      <c r="M262" s="13" t="s">
        <v>192</v>
      </c>
      <c r="N262" s="11"/>
      <c r="O262" s="11"/>
      <c r="P262" s="11"/>
      <c r="T262" s="38">
        <v>766</v>
      </c>
      <c r="U262" s="1">
        <v>5</v>
      </c>
    </row>
    <row r="263" spans="1:21" hidden="1" x14ac:dyDescent="0.25">
      <c r="A263" s="20" t="s">
        <v>54</v>
      </c>
      <c r="B263" s="20"/>
      <c r="C263" s="20"/>
      <c r="D263" s="20" t="s">
        <v>574</v>
      </c>
      <c r="E263" s="20" t="s">
        <v>130</v>
      </c>
      <c r="F263" s="21" t="s">
        <v>71</v>
      </c>
      <c r="G263" s="20">
        <v>303</v>
      </c>
      <c r="H263" s="20" t="s">
        <v>39</v>
      </c>
      <c r="I263" s="20" t="s">
        <v>40</v>
      </c>
      <c r="J263" s="43">
        <v>5.1100000000000003</v>
      </c>
      <c r="K263" s="20">
        <v>1.84</v>
      </c>
      <c r="L263" s="20">
        <v>26.5</v>
      </c>
      <c r="M263" s="47" t="s">
        <v>181</v>
      </c>
      <c r="N263" s="20"/>
      <c r="O263" s="20"/>
      <c r="P263" s="20"/>
    </row>
    <row r="264" spans="1:21" hidden="1" x14ac:dyDescent="0.25">
      <c r="A264" s="14" t="s">
        <v>99</v>
      </c>
      <c r="B264" s="14"/>
      <c r="C264" s="14"/>
      <c r="D264" s="14" t="s">
        <v>350</v>
      </c>
      <c r="E264" s="14" t="s">
        <v>349</v>
      </c>
      <c r="F264" s="42" t="s">
        <v>351</v>
      </c>
      <c r="G264" s="43">
        <v>251</v>
      </c>
      <c r="H264" s="14" t="s">
        <v>44</v>
      </c>
      <c r="I264" s="45" t="s">
        <v>152</v>
      </c>
      <c r="J264" s="14">
        <v>4.57</v>
      </c>
      <c r="K264" s="14">
        <v>1.61</v>
      </c>
      <c r="L264" s="43">
        <v>37</v>
      </c>
      <c r="M264" s="16" t="s">
        <v>266</v>
      </c>
      <c r="N264" s="14"/>
      <c r="O264" s="14"/>
      <c r="P264" s="14"/>
      <c r="T264" s="38">
        <v>436</v>
      </c>
      <c r="U264" s="1">
        <v>4</v>
      </c>
    </row>
    <row r="265" spans="1:21" hidden="1" x14ac:dyDescent="0.25">
      <c r="A265" s="14" t="s">
        <v>99</v>
      </c>
      <c r="B265" s="14"/>
      <c r="C265" s="14"/>
      <c r="D265" s="14" t="s">
        <v>348</v>
      </c>
      <c r="E265" s="14" t="s">
        <v>349</v>
      </c>
      <c r="F265" s="42" t="s">
        <v>38</v>
      </c>
      <c r="G265" s="14">
        <v>236</v>
      </c>
      <c r="H265" s="14">
        <v>9</v>
      </c>
      <c r="I265" s="45" t="s">
        <v>283</v>
      </c>
      <c r="J265" s="14">
        <v>4.51</v>
      </c>
      <c r="K265" s="14">
        <v>1.64</v>
      </c>
      <c r="L265" s="45">
        <v>33</v>
      </c>
      <c r="M265" s="16" t="s">
        <v>128</v>
      </c>
      <c r="N265" s="14"/>
      <c r="O265" s="14"/>
      <c r="P265" s="14"/>
      <c r="T265" s="38">
        <v>322</v>
      </c>
      <c r="U265" s="1"/>
    </row>
    <row r="266" spans="1:21" hidden="1" x14ac:dyDescent="0.25">
      <c r="A266" s="11" t="s">
        <v>32</v>
      </c>
      <c r="B266" s="11"/>
      <c r="C266" s="11"/>
      <c r="D266" s="11" t="s">
        <v>384</v>
      </c>
      <c r="E266" s="11" t="s">
        <v>309</v>
      </c>
      <c r="F266" s="12"/>
      <c r="G266" s="43">
        <v>203</v>
      </c>
      <c r="H266" s="43" t="s">
        <v>132</v>
      </c>
      <c r="I266" s="11" t="s">
        <v>215</v>
      </c>
      <c r="J266" s="45">
        <v>4.45</v>
      </c>
      <c r="K266" s="11">
        <v>1.56</v>
      </c>
      <c r="L266" s="43">
        <v>42</v>
      </c>
      <c r="M266" s="13" t="s">
        <v>248</v>
      </c>
      <c r="N266" s="11"/>
      <c r="O266" s="11"/>
      <c r="P266" s="11"/>
      <c r="T266" s="38">
        <v>103</v>
      </c>
      <c r="U266" s="1">
        <v>1</v>
      </c>
    </row>
    <row r="267" spans="1:21" hidden="1" x14ac:dyDescent="0.25">
      <c r="A267" s="32" t="s">
        <v>22</v>
      </c>
      <c r="B267" s="32"/>
      <c r="C267" s="32"/>
      <c r="D267" s="32" t="s">
        <v>435</v>
      </c>
      <c r="E267" s="32" t="s">
        <v>24</v>
      </c>
      <c r="F267" s="33" t="s">
        <v>436</v>
      </c>
      <c r="G267" s="45">
        <v>194</v>
      </c>
      <c r="H267" s="32" t="s">
        <v>20</v>
      </c>
      <c r="I267" s="32" t="s">
        <v>286</v>
      </c>
      <c r="J267" s="43">
        <v>4.2699999999999996</v>
      </c>
      <c r="K267" s="32">
        <v>1.49</v>
      </c>
      <c r="L267" s="43">
        <v>39</v>
      </c>
      <c r="M267" s="34"/>
      <c r="N267" s="32"/>
      <c r="O267" s="32"/>
      <c r="P267" s="32"/>
      <c r="Q267" s="1" t="s">
        <v>661</v>
      </c>
      <c r="S267" s="1" t="s">
        <v>737</v>
      </c>
    </row>
    <row r="268" spans="1:21" hidden="1" x14ac:dyDescent="0.25">
      <c r="A268" s="11" t="s">
        <v>32</v>
      </c>
      <c r="B268" s="11"/>
      <c r="C268" s="11"/>
      <c r="D268" s="11" t="s">
        <v>377</v>
      </c>
      <c r="E268" s="11" t="s">
        <v>211</v>
      </c>
      <c r="F268" s="12"/>
      <c r="G268" s="11">
        <v>183</v>
      </c>
      <c r="H268" s="43" t="s">
        <v>158</v>
      </c>
      <c r="I268" s="11" t="s">
        <v>209</v>
      </c>
      <c r="J268" s="11">
        <v>4.55</v>
      </c>
      <c r="K268" s="11">
        <v>1.59</v>
      </c>
      <c r="L268" s="11">
        <v>33.5</v>
      </c>
      <c r="M268" s="13" t="s">
        <v>266</v>
      </c>
      <c r="N268" s="11"/>
      <c r="O268" s="11"/>
      <c r="P268" s="11"/>
      <c r="Q268" s="1" t="s">
        <v>661</v>
      </c>
      <c r="S268" s="1" t="s">
        <v>709</v>
      </c>
      <c r="T268" s="38">
        <v>635</v>
      </c>
      <c r="U268" s="1">
        <v>2</v>
      </c>
    </row>
    <row r="269" spans="1:21" hidden="1" x14ac:dyDescent="0.25">
      <c r="A269" s="14" t="s">
        <v>99</v>
      </c>
      <c r="B269" s="14"/>
      <c r="C269" s="14"/>
      <c r="D269" s="14" t="s">
        <v>345</v>
      </c>
      <c r="E269" s="14" t="s">
        <v>276</v>
      </c>
      <c r="F269" s="42" t="s">
        <v>151</v>
      </c>
      <c r="G269" s="43">
        <v>258</v>
      </c>
      <c r="H269" s="45" t="s">
        <v>20</v>
      </c>
      <c r="I269" s="43" t="s">
        <v>247</v>
      </c>
      <c r="J269" s="14"/>
      <c r="K269" s="14"/>
      <c r="L269" s="14"/>
      <c r="M269" s="16"/>
      <c r="N269" s="14"/>
      <c r="O269" s="14"/>
      <c r="P269" s="14"/>
      <c r="T269" s="38">
        <v>300</v>
      </c>
      <c r="U269" s="1">
        <v>2</v>
      </c>
    </row>
    <row r="270" spans="1:21" hidden="1" x14ac:dyDescent="0.25">
      <c r="A270" s="11" t="s">
        <v>32</v>
      </c>
      <c r="B270" s="11"/>
      <c r="C270" s="11"/>
      <c r="D270" s="11" t="s">
        <v>393</v>
      </c>
      <c r="E270" s="11" t="s">
        <v>61</v>
      </c>
      <c r="F270" s="12"/>
      <c r="G270" s="45">
        <v>190</v>
      </c>
      <c r="H270" s="11">
        <v>9</v>
      </c>
      <c r="I270" s="11" t="s">
        <v>78</v>
      </c>
      <c r="J270" s="43">
        <v>4.28</v>
      </c>
      <c r="K270" s="11">
        <v>1.52</v>
      </c>
      <c r="L270" s="45">
        <v>36</v>
      </c>
      <c r="M270" s="13"/>
      <c r="N270" s="11"/>
      <c r="O270" s="11"/>
      <c r="P270" s="11"/>
      <c r="T270" s="38">
        <v>488</v>
      </c>
      <c r="U270" s="1">
        <v>4</v>
      </c>
    </row>
    <row r="271" spans="1:21" x14ac:dyDescent="0.25">
      <c r="A271" s="23" t="s">
        <v>834</v>
      </c>
      <c r="B271" s="23"/>
      <c r="C271" s="23"/>
      <c r="D271" s="23" t="s">
        <v>479</v>
      </c>
      <c r="E271" s="23" t="s">
        <v>80</v>
      </c>
      <c r="F271" s="24" t="s">
        <v>119</v>
      </c>
      <c r="G271" s="43">
        <v>323</v>
      </c>
      <c r="H271" s="23">
        <v>10</v>
      </c>
      <c r="I271" s="43" t="s">
        <v>274</v>
      </c>
      <c r="J271" s="45">
        <v>5.09</v>
      </c>
      <c r="K271" s="23">
        <v>1.78</v>
      </c>
      <c r="L271" s="45">
        <v>30.5</v>
      </c>
      <c r="M271" s="25" t="s">
        <v>443</v>
      </c>
      <c r="N271" s="23"/>
      <c r="O271" s="23">
        <v>5</v>
      </c>
      <c r="P271" s="23"/>
      <c r="Q271" s="1" t="s">
        <v>661</v>
      </c>
      <c r="R271" s="1" t="s">
        <v>812</v>
      </c>
      <c r="S271" s="1" t="s">
        <v>700</v>
      </c>
    </row>
    <row r="272" spans="1:21" hidden="1" x14ac:dyDescent="0.25">
      <c r="A272" s="14" t="s">
        <v>99</v>
      </c>
      <c r="B272" s="14"/>
      <c r="C272" s="14"/>
      <c r="D272" s="14" t="s">
        <v>356</v>
      </c>
      <c r="E272" s="14" t="s">
        <v>80</v>
      </c>
      <c r="F272" s="44" t="s">
        <v>357</v>
      </c>
      <c r="G272" s="43">
        <v>251</v>
      </c>
      <c r="H272" s="45" t="s">
        <v>158</v>
      </c>
      <c r="I272" s="14" t="s">
        <v>21</v>
      </c>
      <c r="J272" s="14">
        <v>4.9000000000000004</v>
      </c>
      <c r="K272" s="14">
        <v>1.71</v>
      </c>
      <c r="L272" s="45">
        <v>34.5</v>
      </c>
      <c r="M272" s="16" t="s">
        <v>266</v>
      </c>
      <c r="N272" s="14"/>
      <c r="O272" s="14"/>
      <c r="P272" s="14"/>
      <c r="Q272" s="1" t="s">
        <v>661</v>
      </c>
      <c r="S272" s="1" t="s">
        <v>666</v>
      </c>
      <c r="T272" s="38">
        <v>253</v>
      </c>
      <c r="U272" s="1">
        <v>2</v>
      </c>
    </row>
    <row r="273" spans="1:21" hidden="1" x14ac:dyDescent="0.25">
      <c r="A273" s="32" t="s">
        <v>22</v>
      </c>
      <c r="B273" s="32"/>
      <c r="C273" s="32"/>
      <c r="D273" s="32" t="s">
        <v>416</v>
      </c>
      <c r="E273" s="32" t="s">
        <v>349</v>
      </c>
      <c r="F273" s="33" t="s">
        <v>417</v>
      </c>
      <c r="G273" s="45">
        <v>196</v>
      </c>
      <c r="H273" s="32" t="s">
        <v>31</v>
      </c>
      <c r="I273" s="32" t="s">
        <v>26</v>
      </c>
      <c r="J273" s="32"/>
      <c r="K273" s="32"/>
      <c r="L273" s="43">
        <v>38</v>
      </c>
      <c r="M273" s="34"/>
      <c r="N273" s="32"/>
      <c r="O273" s="32"/>
      <c r="P273" s="32"/>
    </row>
    <row r="274" spans="1:21" hidden="1" x14ac:dyDescent="0.25">
      <c r="A274" s="11" t="s">
        <v>32</v>
      </c>
      <c r="B274" s="11"/>
      <c r="C274" s="11"/>
      <c r="D274" s="11" t="s">
        <v>375</v>
      </c>
      <c r="E274" s="11" t="s">
        <v>61</v>
      </c>
      <c r="F274" s="12"/>
      <c r="G274" s="45">
        <v>191</v>
      </c>
      <c r="H274" s="45" t="s">
        <v>126</v>
      </c>
      <c r="I274" s="11" t="s">
        <v>376</v>
      </c>
      <c r="J274" s="11"/>
      <c r="K274" s="11"/>
      <c r="L274" s="11">
        <v>30</v>
      </c>
      <c r="M274" s="13" t="s">
        <v>136</v>
      </c>
      <c r="N274" s="11"/>
      <c r="O274" s="11"/>
      <c r="P274" s="11"/>
      <c r="S274" s="1" t="s">
        <v>652</v>
      </c>
      <c r="T274" s="38">
        <v>398</v>
      </c>
      <c r="U274" s="1">
        <v>0</v>
      </c>
    </row>
    <row r="275" spans="1:21" hidden="1" x14ac:dyDescent="0.25">
      <c r="A275" s="20" t="s">
        <v>54</v>
      </c>
      <c r="B275" s="20"/>
      <c r="C275" s="20"/>
      <c r="D275" s="20" t="s">
        <v>643</v>
      </c>
      <c r="E275" s="20" t="s">
        <v>268</v>
      </c>
      <c r="F275" s="44" t="s">
        <v>644</v>
      </c>
      <c r="G275" s="20">
        <v>325</v>
      </c>
      <c r="H275" s="20" t="s">
        <v>116</v>
      </c>
      <c r="I275" s="43" t="s">
        <v>235</v>
      </c>
      <c r="J275" s="45">
        <v>5.17</v>
      </c>
      <c r="K275" s="20">
        <v>1.79</v>
      </c>
      <c r="L275" s="20">
        <v>27</v>
      </c>
      <c r="M275" s="22" t="s">
        <v>582</v>
      </c>
      <c r="N275" s="20"/>
      <c r="O275" s="20"/>
      <c r="P275" s="20"/>
    </row>
    <row r="276" spans="1:21" hidden="1" x14ac:dyDescent="0.25">
      <c r="A276" s="29" t="s">
        <v>69</v>
      </c>
      <c r="B276" s="29"/>
      <c r="C276" s="29"/>
      <c r="D276" s="29" t="s">
        <v>476</v>
      </c>
      <c r="E276" s="29" t="s">
        <v>246</v>
      </c>
      <c r="F276" s="30" t="s">
        <v>119</v>
      </c>
      <c r="G276" s="29">
        <v>228</v>
      </c>
      <c r="H276" s="29" t="s">
        <v>122</v>
      </c>
      <c r="I276" s="29" t="s">
        <v>426</v>
      </c>
      <c r="J276" s="45">
        <v>4.63</v>
      </c>
      <c r="K276" s="29">
        <v>1.66</v>
      </c>
      <c r="L276" s="43">
        <v>37.5</v>
      </c>
      <c r="M276" s="31">
        <v>46296</v>
      </c>
      <c r="N276" s="29">
        <v>7</v>
      </c>
      <c r="O276" s="45">
        <v>4.42</v>
      </c>
      <c r="P276" s="29"/>
      <c r="R276" s="1" t="s">
        <v>812</v>
      </c>
    </row>
    <row r="277" spans="1:21" hidden="1" x14ac:dyDescent="0.25">
      <c r="A277" s="17" t="s">
        <v>83</v>
      </c>
      <c r="B277" s="17"/>
      <c r="C277" s="17"/>
      <c r="D277" s="17" t="s">
        <v>627</v>
      </c>
      <c r="E277" s="17" t="s">
        <v>309</v>
      </c>
      <c r="F277" s="18" t="s">
        <v>96</v>
      </c>
      <c r="G277" s="17">
        <v>325</v>
      </c>
      <c r="H277" s="17" t="s">
        <v>87</v>
      </c>
      <c r="I277" s="43" t="s">
        <v>628</v>
      </c>
      <c r="J277" s="17"/>
      <c r="K277" s="17"/>
      <c r="L277" s="17"/>
      <c r="M277" s="19"/>
      <c r="N277" s="54">
        <v>7.62</v>
      </c>
      <c r="O277" s="54"/>
      <c r="P277" s="17"/>
    </row>
    <row r="278" spans="1:21" x14ac:dyDescent="0.25">
      <c r="A278" s="23" t="s">
        <v>834</v>
      </c>
      <c r="B278" s="23"/>
      <c r="C278" s="23"/>
      <c r="D278" s="23" t="s">
        <v>535</v>
      </c>
      <c r="E278" s="23" t="s">
        <v>162</v>
      </c>
      <c r="F278" s="42" t="s">
        <v>327</v>
      </c>
      <c r="G278" s="43">
        <v>328</v>
      </c>
      <c r="H278" s="23" t="s">
        <v>122</v>
      </c>
      <c r="I278" s="43" t="s">
        <v>235</v>
      </c>
      <c r="J278" s="23"/>
      <c r="K278" s="23"/>
      <c r="L278" s="23"/>
      <c r="M278" s="25"/>
      <c r="N278" s="23"/>
      <c r="O278" s="23"/>
      <c r="P278" s="23"/>
    </row>
    <row r="279" spans="1:21" hidden="1" x14ac:dyDescent="0.25">
      <c r="A279" s="29" t="s">
        <v>69</v>
      </c>
      <c r="B279" s="29"/>
      <c r="C279" s="29"/>
      <c r="D279" s="29" t="s">
        <v>537</v>
      </c>
      <c r="E279" s="29" t="s">
        <v>66</v>
      </c>
      <c r="F279" s="30" t="s">
        <v>327</v>
      </c>
      <c r="G279" s="45">
        <v>236</v>
      </c>
      <c r="H279" s="29">
        <v>10</v>
      </c>
      <c r="I279" s="29" t="s">
        <v>461</v>
      </c>
      <c r="J279" s="29"/>
      <c r="K279" s="29"/>
      <c r="L279" s="29"/>
      <c r="M279" s="31"/>
      <c r="N279" s="29"/>
      <c r="O279" s="29"/>
      <c r="P279" s="29"/>
    </row>
    <row r="280" spans="1:21" hidden="1" x14ac:dyDescent="0.25">
      <c r="A280" s="29" t="s">
        <v>69</v>
      </c>
      <c r="B280" s="29"/>
      <c r="C280" s="29"/>
      <c r="D280" s="29" t="s">
        <v>502</v>
      </c>
      <c r="E280" s="29" t="s">
        <v>51</v>
      </c>
      <c r="F280" s="30" t="s">
        <v>119</v>
      </c>
      <c r="G280" s="29">
        <v>225</v>
      </c>
      <c r="H280" s="29" t="s">
        <v>122</v>
      </c>
      <c r="I280" s="29" t="s">
        <v>168</v>
      </c>
      <c r="J280" s="29"/>
      <c r="K280" s="29"/>
      <c r="L280" s="29"/>
      <c r="M280" s="31"/>
      <c r="N280" s="29"/>
      <c r="O280" s="29"/>
      <c r="P280" s="29"/>
      <c r="Q280" s="1" t="s">
        <v>661</v>
      </c>
      <c r="S280" s="1" t="s">
        <v>721</v>
      </c>
    </row>
    <row r="281" spans="1:21" x14ac:dyDescent="0.25">
      <c r="A281" s="23" t="s">
        <v>834</v>
      </c>
      <c r="B281" s="23"/>
      <c r="C281" s="23"/>
      <c r="D281" s="23" t="s">
        <v>585</v>
      </c>
      <c r="E281" s="23" t="s">
        <v>586</v>
      </c>
      <c r="F281" s="44" t="s">
        <v>71</v>
      </c>
      <c r="G281" s="43">
        <v>315</v>
      </c>
      <c r="H281" s="23">
        <v>10</v>
      </c>
      <c r="I281" s="23">
        <v>34</v>
      </c>
      <c r="J281" s="23"/>
      <c r="K281" s="23"/>
      <c r="L281" s="23">
        <v>27.5</v>
      </c>
      <c r="M281" s="25" t="s">
        <v>443</v>
      </c>
      <c r="N281" s="23">
        <v>8.07</v>
      </c>
      <c r="O281" s="23"/>
      <c r="P281" s="23"/>
    </row>
    <row r="282" spans="1:21" x14ac:dyDescent="0.25">
      <c r="A282" s="23" t="s">
        <v>834</v>
      </c>
      <c r="B282" s="23"/>
      <c r="C282" s="23"/>
      <c r="D282" s="23" t="s">
        <v>541</v>
      </c>
      <c r="E282" s="23" t="s">
        <v>138</v>
      </c>
      <c r="F282" s="44" t="s">
        <v>107</v>
      </c>
      <c r="G282" s="23">
        <v>292</v>
      </c>
      <c r="H282" s="23" t="s">
        <v>116</v>
      </c>
      <c r="I282" s="43" t="s">
        <v>97</v>
      </c>
      <c r="J282" s="23"/>
      <c r="K282" s="23"/>
      <c r="L282" s="43">
        <v>32</v>
      </c>
      <c r="M282" s="25" t="s">
        <v>93</v>
      </c>
      <c r="N282" s="23"/>
      <c r="O282" s="23"/>
      <c r="P282" s="23"/>
    </row>
    <row r="283" spans="1:21" hidden="1" x14ac:dyDescent="0.25">
      <c r="A283" s="3" t="s">
        <v>16</v>
      </c>
      <c r="B283" s="3"/>
      <c r="C283" s="3"/>
      <c r="D283" s="3" t="s">
        <v>249</v>
      </c>
      <c r="E283" s="3" t="s">
        <v>106</v>
      </c>
      <c r="F283" s="42" t="s">
        <v>119</v>
      </c>
      <c r="G283" s="3">
        <v>221</v>
      </c>
      <c r="H283" s="43" t="s">
        <v>20</v>
      </c>
      <c r="I283" s="3" t="s">
        <v>141</v>
      </c>
      <c r="J283" s="3"/>
      <c r="K283" s="3"/>
      <c r="L283" s="3"/>
      <c r="M283" s="7"/>
      <c r="N283" s="3"/>
      <c r="O283" s="3"/>
      <c r="P283" s="3"/>
      <c r="T283" s="38">
        <v>2780</v>
      </c>
      <c r="U283" s="1">
        <v>22</v>
      </c>
    </row>
    <row r="284" spans="1:21" hidden="1" x14ac:dyDescent="0.25">
      <c r="A284" s="11" t="s">
        <v>32</v>
      </c>
      <c r="B284" s="11"/>
      <c r="C284" s="11"/>
      <c r="D284" s="11" t="s">
        <v>394</v>
      </c>
      <c r="E284" s="11" t="s">
        <v>51</v>
      </c>
      <c r="F284" s="12"/>
      <c r="G284" s="43">
        <v>202</v>
      </c>
      <c r="H284" s="45" t="s">
        <v>126</v>
      </c>
      <c r="I284" s="11" t="s">
        <v>49</v>
      </c>
      <c r="J284" s="11"/>
      <c r="K284" s="11"/>
      <c r="L284" s="11"/>
      <c r="M284" s="13"/>
      <c r="N284" s="11"/>
      <c r="O284" s="11"/>
      <c r="P284" s="11"/>
      <c r="Q284" s="1" t="s">
        <v>661</v>
      </c>
      <c r="S284" s="1" t="s">
        <v>734</v>
      </c>
      <c r="T284" s="38">
        <v>557</v>
      </c>
      <c r="U284" s="1">
        <v>7</v>
      </c>
    </row>
    <row r="285" spans="1:21" hidden="1" x14ac:dyDescent="0.25">
      <c r="A285" s="11" t="s">
        <v>32</v>
      </c>
      <c r="B285" s="11"/>
      <c r="C285" s="11"/>
      <c r="D285" s="11" t="s">
        <v>354</v>
      </c>
      <c r="E285" s="11" t="s">
        <v>223</v>
      </c>
      <c r="F285" s="44" t="s">
        <v>167</v>
      </c>
      <c r="G285" s="43">
        <v>203</v>
      </c>
      <c r="H285" s="43" t="s">
        <v>48</v>
      </c>
      <c r="I285" s="11" t="s">
        <v>195</v>
      </c>
      <c r="J285" s="11"/>
      <c r="K285" s="11"/>
      <c r="L285" s="11"/>
      <c r="M285" s="13"/>
      <c r="N285" s="11"/>
      <c r="O285" s="11"/>
      <c r="P285" s="11"/>
      <c r="Q285" s="1" t="s">
        <v>661</v>
      </c>
      <c r="S285" s="1" t="s">
        <v>763</v>
      </c>
      <c r="T285" s="38">
        <v>588</v>
      </c>
      <c r="U285" s="1">
        <v>3</v>
      </c>
    </row>
    <row r="286" spans="1:21" hidden="1" x14ac:dyDescent="0.25">
      <c r="A286" s="32" t="s">
        <v>22</v>
      </c>
      <c r="B286" s="32"/>
      <c r="C286" s="32"/>
      <c r="D286" s="32" t="s">
        <v>434</v>
      </c>
      <c r="E286" s="32" t="s">
        <v>252</v>
      </c>
      <c r="F286" s="33" t="s">
        <v>30</v>
      </c>
      <c r="G286" s="32">
        <v>190</v>
      </c>
      <c r="H286" s="32" t="s">
        <v>44</v>
      </c>
      <c r="I286" s="32" t="s">
        <v>306</v>
      </c>
      <c r="J286" s="45">
        <v>4.5</v>
      </c>
      <c r="K286" s="32">
        <v>1.58</v>
      </c>
      <c r="L286" s="32"/>
      <c r="M286" s="34"/>
      <c r="N286" s="32"/>
      <c r="O286" s="32"/>
      <c r="P286" s="32"/>
    </row>
    <row r="287" spans="1:21" hidden="1" x14ac:dyDescent="0.25">
      <c r="A287" s="35" t="s">
        <v>59</v>
      </c>
      <c r="B287" s="35"/>
      <c r="C287" s="35"/>
      <c r="D287" s="35" t="s">
        <v>432</v>
      </c>
      <c r="E287" s="35" t="s">
        <v>366</v>
      </c>
      <c r="F287" s="42" t="s">
        <v>30</v>
      </c>
      <c r="G287" s="45">
        <v>196</v>
      </c>
      <c r="H287" s="35" t="s">
        <v>374</v>
      </c>
      <c r="I287" s="35" t="s">
        <v>209</v>
      </c>
      <c r="J287" s="35">
        <v>4.54</v>
      </c>
      <c r="K287" s="35">
        <v>1.61</v>
      </c>
      <c r="L287" s="43">
        <v>38.5</v>
      </c>
      <c r="M287" s="37" t="s">
        <v>146</v>
      </c>
      <c r="N287" s="45">
        <v>7.03</v>
      </c>
      <c r="O287" s="45">
        <v>4.46</v>
      </c>
      <c r="P287" s="35"/>
    </row>
    <row r="288" spans="1:21" hidden="1" x14ac:dyDescent="0.25">
      <c r="A288" s="35" t="s">
        <v>59</v>
      </c>
      <c r="B288" s="35"/>
      <c r="C288" s="35"/>
      <c r="D288" s="35" t="s">
        <v>408</v>
      </c>
      <c r="E288" s="35" t="s">
        <v>252</v>
      </c>
      <c r="F288" s="36" t="s">
        <v>243</v>
      </c>
      <c r="G288" s="35">
        <v>185</v>
      </c>
      <c r="H288" s="35" t="s">
        <v>126</v>
      </c>
      <c r="I288" s="35">
        <v>31</v>
      </c>
      <c r="J288" s="43">
        <v>4.32</v>
      </c>
      <c r="K288" s="35">
        <v>1.51</v>
      </c>
      <c r="L288" s="43">
        <v>37.5</v>
      </c>
      <c r="M288" s="37" t="s">
        <v>248</v>
      </c>
      <c r="N288" s="35">
        <v>7.2</v>
      </c>
      <c r="O288" s="35"/>
      <c r="P288" s="35">
        <v>13</v>
      </c>
    </row>
    <row r="289" spans="1:21" hidden="1" x14ac:dyDescent="0.25">
      <c r="A289" s="17" t="s">
        <v>83</v>
      </c>
      <c r="B289" s="17"/>
      <c r="C289" s="17"/>
      <c r="D289" s="17" t="s">
        <v>626</v>
      </c>
      <c r="E289" s="17" t="s">
        <v>51</v>
      </c>
      <c r="F289" s="18" t="s">
        <v>96</v>
      </c>
      <c r="G289" s="17">
        <v>334</v>
      </c>
      <c r="H289" s="17">
        <v>10</v>
      </c>
      <c r="I289" s="17">
        <v>34</v>
      </c>
      <c r="J289" s="17"/>
      <c r="K289" s="17"/>
      <c r="L289" s="17"/>
      <c r="M289" s="19"/>
      <c r="N289" s="17"/>
      <c r="O289" s="17"/>
      <c r="P289" s="17"/>
      <c r="Q289" s="1" t="s">
        <v>661</v>
      </c>
      <c r="R289" s="1" t="s">
        <v>812</v>
      </c>
      <c r="S289" s="1" t="s">
        <v>732</v>
      </c>
    </row>
    <row r="290" spans="1:21" x14ac:dyDescent="0.25">
      <c r="A290" s="23" t="s">
        <v>834</v>
      </c>
      <c r="B290" s="23"/>
      <c r="C290" s="23"/>
      <c r="D290" s="23" t="s">
        <v>459</v>
      </c>
      <c r="E290" s="23" t="s">
        <v>460</v>
      </c>
      <c r="F290" s="24" t="s">
        <v>191</v>
      </c>
      <c r="G290" s="43">
        <v>319</v>
      </c>
      <c r="H290" s="23" t="s">
        <v>122</v>
      </c>
      <c r="I290" s="45" t="s">
        <v>461</v>
      </c>
      <c r="J290" s="23"/>
      <c r="K290" s="23"/>
      <c r="L290" s="23">
        <v>28</v>
      </c>
      <c r="M290" s="25"/>
      <c r="N290" s="23"/>
      <c r="O290" s="23"/>
      <c r="P290" s="23"/>
    </row>
    <row r="291" spans="1:21" hidden="1" x14ac:dyDescent="0.25">
      <c r="A291" s="11" t="s">
        <v>32</v>
      </c>
      <c r="B291" s="11"/>
      <c r="C291" s="11"/>
      <c r="D291" s="11" t="s">
        <v>296</v>
      </c>
      <c r="E291" s="11" t="s">
        <v>185</v>
      </c>
      <c r="F291" s="12" t="s">
        <v>206</v>
      </c>
      <c r="G291" s="11">
        <v>179</v>
      </c>
      <c r="H291" s="45" t="s">
        <v>20</v>
      </c>
      <c r="I291" s="11">
        <v>30</v>
      </c>
      <c r="J291" s="45">
        <v>4.49</v>
      </c>
      <c r="K291" s="11">
        <v>1.62</v>
      </c>
      <c r="L291" s="43">
        <v>38.5</v>
      </c>
      <c r="M291" s="13" t="s">
        <v>288</v>
      </c>
      <c r="N291" s="11"/>
      <c r="O291" s="11"/>
      <c r="P291" s="11"/>
      <c r="T291" s="38">
        <v>732</v>
      </c>
      <c r="U291" s="1"/>
    </row>
    <row r="292" spans="1:21" hidden="1" x14ac:dyDescent="0.25">
      <c r="A292" s="3" t="s">
        <v>16</v>
      </c>
      <c r="B292" s="3"/>
      <c r="C292" s="3"/>
      <c r="D292" s="3" t="s">
        <v>328</v>
      </c>
      <c r="E292" s="3" t="s">
        <v>214</v>
      </c>
      <c r="F292" s="42" t="s">
        <v>329</v>
      </c>
      <c r="G292" s="3">
        <v>226</v>
      </c>
      <c r="H292" s="45" t="s">
        <v>126</v>
      </c>
      <c r="I292" s="3" t="s">
        <v>145</v>
      </c>
      <c r="J292" s="3">
        <v>4.83</v>
      </c>
      <c r="K292" s="3">
        <v>1.67</v>
      </c>
      <c r="L292" s="3">
        <v>35</v>
      </c>
      <c r="M292" s="7" t="s">
        <v>330</v>
      </c>
      <c r="N292" s="3"/>
      <c r="O292" s="3">
        <v>4.3499999999999996</v>
      </c>
      <c r="P292" s="3"/>
      <c r="T292" s="38">
        <v>3448</v>
      </c>
      <c r="U292" s="1">
        <v>28</v>
      </c>
    </row>
    <row r="293" spans="1:21" hidden="1" x14ac:dyDescent="0.25">
      <c r="A293" s="11" t="s">
        <v>32</v>
      </c>
      <c r="B293" s="11"/>
      <c r="C293" s="11"/>
      <c r="D293" s="11" t="s">
        <v>378</v>
      </c>
      <c r="E293" s="11" t="s">
        <v>101</v>
      </c>
      <c r="F293" s="12"/>
      <c r="G293" s="45">
        <v>189</v>
      </c>
      <c r="H293" s="11" t="s">
        <v>113</v>
      </c>
      <c r="I293" s="11" t="s">
        <v>21</v>
      </c>
      <c r="J293" s="43">
        <v>4.37</v>
      </c>
      <c r="K293" s="11">
        <v>1.55</v>
      </c>
      <c r="L293" s="11">
        <v>32.5</v>
      </c>
      <c r="M293" s="13" t="s">
        <v>128</v>
      </c>
      <c r="N293" s="11"/>
      <c r="O293" s="11"/>
      <c r="P293" s="11"/>
      <c r="T293" s="38">
        <v>719</v>
      </c>
      <c r="U293" s="1">
        <v>6</v>
      </c>
    </row>
    <row r="294" spans="1:21" hidden="1" x14ac:dyDescent="0.25">
      <c r="A294" s="11" t="s">
        <v>32</v>
      </c>
      <c r="B294" s="11"/>
      <c r="C294" s="11"/>
      <c r="D294" s="11" t="s">
        <v>400</v>
      </c>
      <c r="E294" s="11" t="s">
        <v>349</v>
      </c>
      <c r="F294" s="12"/>
      <c r="G294" s="45">
        <v>191</v>
      </c>
      <c r="H294" s="45" t="s">
        <v>126</v>
      </c>
      <c r="I294" s="11" t="s">
        <v>215</v>
      </c>
      <c r="J294" s="11"/>
      <c r="K294" s="11"/>
      <c r="L294" s="11"/>
      <c r="M294" s="13"/>
      <c r="N294" s="11"/>
      <c r="O294" s="11"/>
      <c r="P294" s="11"/>
      <c r="T294" s="38">
        <v>766</v>
      </c>
      <c r="U294" s="1">
        <v>6</v>
      </c>
    </row>
    <row r="295" spans="1:21" hidden="1" x14ac:dyDescent="0.25">
      <c r="A295" s="26" t="s">
        <v>36</v>
      </c>
      <c r="B295" s="26"/>
      <c r="C295" s="26"/>
      <c r="D295" s="26" t="s">
        <v>587</v>
      </c>
      <c r="E295" s="26" t="s">
        <v>556</v>
      </c>
      <c r="F295" s="44" t="s">
        <v>71</v>
      </c>
      <c r="G295" s="43">
        <v>256</v>
      </c>
      <c r="H295" s="26" t="s">
        <v>269</v>
      </c>
      <c r="I295" s="43" t="s">
        <v>588</v>
      </c>
      <c r="J295" s="26">
        <v>4.88</v>
      </c>
      <c r="K295" s="26">
        <v>1.69</v>
      </c>
      <c r="L295" s="43">
        <v>37</v>
      </c>
      <c r="M295" s="28" t="s">
        <v>254</v>
      </c>
      <c r="N295" s="59">
        <v>7.62</v>
      </c>
      <c r="O295" s="59">
        <v>4.76</v>
      </c>
      <c r="P295" s="26"/>
      <c r="R295" s="1" t="s">
        <v>812</v>
      </c>
    </row>
    <row r="296" spans="1:21" hidden="1" x14ac:dyDescent="0.25">
      <c r="A296" s="32" t="s">
        <v>22</v>
      </c>
      <c r="B296" s="32"/>
      <c r="C296" s="32"/>
      <c r="D296" s="32" t="s">
        <v>411</v>
      </c>
      <c r="E296" s="32" t="s">
        <v>18</v>
      </c>
      <c r="F296" s="33" t="s">
        <v>243</v>
      </c>
      <c r="G296" s="32">
        <v>191</v>
      </c>
      <c r="H296" s="32" t="s">
        <v>158</v>
      </c>
      <c r="I296" s="32" t="s">
        <v>244</v>
      </c>
      <c r="J296" s="32"/>
      <c r="K296" s="32"/>
      <c r="L296" s="32"/>
      <c r="M296" s="34"/>
      <c r="N296" s="32"/>
      <c r="O296" s="32"/>
      <c r="P296" s="32"/>
      <c r="S296" s="1" t="s">
        <v>686</v>
      </c>
    </row>
    <row r="297" spans="1:21" hidden="1" x14ac:dyDescent="0.25">
      <c r="A297" s="32" t="s">
        <v>22</v>
      </c>
      <c r="B297" s="32"/>
      <c r="C297" s="32"/>
      <c r="D297" s="32" t="s">
        <v>455</v>
      </c>
      <c r="E297" s="32" t="s">
        <v>456</v>
      </c>
      <c r="F297" s="33" t="s">
        <v>191</v>
      </c>
      <c r="G297" s="32">
        <v>196</v>
      </c>
      <c r="H297" s="32" t="s">
        <v>48</v>
      </c>
      <c r="I297" s="32" t="s">
        <v>45</v>
      </c>
      <c r="J297" s="32"/>
      <c r="K297" s="32"/>
      <c r="L297" s="32"/>
      <c r="M297" s="34"/>
      <c r="N297" s="32"/>
      <c r="O297" s="32"/>
      <c r="P297" s="32"/>
    </row>
    <row r="298" spans="1:21" hidden="1" x14ac:dyDescent="0.25">
      <c r="A298" s="29" t="s">
        <v>69</v>
      </c>
      <c r="B298" s="29"/>
      <c r="C298" s="29"/>
      <c r="D298" s="29" t="s">
        <v>501</v>
      </c>
      <c r="E298" s="29" t="s">
        <v>138</v>
      </c>
      <c r="F298" s="30" t="s">
        <v>119</v>
      </c>
      <c r="G298" s="45">
        <v>231</v>
      </c>
      <c r="H298" s="29" t="s">
        <v>148</v>
      </c>
      <c r="I298" s="29">
        <v>32</v>
      </c>
      <c r="J298" s="29"/>
      <c r="K298" s="29"/>
      <c r="L298" s="29"/>
      <c r="M298" s="31"/>
      <c r="N298" s="29"/>
      <c r="O298" s="29"/>
      <c r="P298" s="29"/>
    </row>
    <row r="299" spans="1:21" hidden="1" x14ac:dyDescent="0.25">
      <c r="A299" s="14" t="s">
        <v>99</v>
      </c>
      <c r="B299" s="14"/>
      <c r="C299" s="14"/>
      <c r="D299" s="14" t="s">
        <v>346</v>
      </c>
      <c r="E299" s="14" t="s">
        <v>75</v>
      </c>
      <c r="F299" s="42" t="s">
        <v>151</v>
      </c>
      <c r="G299" s="14">
        <v>243</v>
      </c>
      <c r="H299" s="14" t="s">
        <v>126</v>
      </c>
      <c r="I299" s="14" t="s">
        <v>103</v>
      </c>
      <c r="J299" s="14"/>
      <c r="K299" s="14"/>
      <c r="L299" s="14"/>
      <c r="M299" s="16"/>
      <c r="N299" s="14"/>
      <c r="O299" s="14"/>
      <c r="P299" s="14"/>
      <c r="T299" s="38">
        <v>450</v>
      </c>
      <c r="U299" s="1">
        <v>4</v>
      </c>
    </row>
    <row r="300" spans="1:21" hidden="1" x14ac:dyDescent="0.25">
      <c r="A300" s="20" t="s">
        <v>54</v>
      </c>
      <c r="B300" s="20"/>
      <c r="C300" s="20"/>
      <c r="D300" s="20" t="s">
        <v>267</v>
      </c>
      <c r="E300" s="20" t="s">
        <v>268</v>
      </c>
      <c r="F300" s="21" t="s">
        <v>71</v>
      </c>
      <c r="G300" s="20">
        <v>311</v>
      </c>
      <c r="H300" s="20" t="s">
        <v>269</v>
      </c>
      <c r="I300" s="43" t="s">
        <v>109</v>
      </c>
      <c r="J300" s="20"/>
      <c r="K300" s="20"/>
      <c r="L300" s="20"/>
      <c r="M300" s="22"/>
      <c r="N300" s="20"/>
      <c r="O300" s="20"/>
      <c r="P300" s="20"/>
    </row>
    <row r="301" spans="1:21" hidden="1" x14ac:dyDescent="0.25">
      <c r="A301" s="26" t="s">
        <v>36</v>
      </c>
      <c r="B301" s="26"/>
      <c r="C301" s="26"/>
      <c r="D301" s="26" t="s">
        <v>563</v>
      </c>
      <c r="E301" s="26" t="s">
        <v>546</v>
      </c>
      <c r="F301" s="44" t="s">
        <v>253</v>
      </c>
      <c r="G301" s="43">
        <v>260</v>
      </c>
      <c r="H301" s="26" t="s">
        <v>52</v>
      </c>
      <c r="I301" s="26">
        <v>32</v>
      </c>
      <c r="J301" s="26"/>
      <c r="K301" s="26"/>
      <c r="L301" s="26"/>
      <c r="M301" s="28"/>
      <c r="N301" s="26"/>
      <c r="O301" s="26"/>
      <c r="P301" s="26">
        <v>21</v>
      </c>
    </row>
    <row r="302" spans="1:21" hidden="1" x14ac:dyDescent="0.25">
      <c r="A302" s="29" t="s">
        <v>69</v>
      </c>
      <c r="B302" s="29"/>
      <c r="C302" s="29"/>
      <c r="D302" s="29" t="s">
        <v>599</v>
      </c>
      <c r="E302" s="29" t="s">
        <v>91</v>
      </c>
      <c r="F302" s="30" t="s">
        <v>71</v>
      </c>
      <c r="G302" s="45">
        <v>233</v>
      </c>
      <c r="H302" s="29" t="s">
        <v>39</v>
      </c>
      <c r="I302" s="29" t="s">
        <v>123</v>
      </c>
      <c r="J302" s="29"/>
      <c r="K302" s="29"/>
      <c r="L302" s="29"/>
      <c r="M302" s="31"/>
      <c r="N302" s="29"/>
      <c r="O302" s="29"/>
      <c r="P302" s="29"/>
    </row>
    <row r="303" spans="1:21" hidden="1" x14ac:dyDescent="0.25">
      <c r="A303" s="3" t="s">
        <v>16</v>
      </c>
      <c r="B303" s="3"/>
      <c r="C303" s="3"/>
      <c r="D303" s="3" t="s">
        <v>186</v>
      </c>
      <c r="E303" s="3" t="s">
        <v>187</v>
      </c>
      <c r="F303" s="4" t="s">
        <v>188</v>
      </c>
      <c r="G303" s="3">
        <v>207</v>
      </c>
      <c r="H303" s="43" t="s">
        <v>132</v>
      </c>
      <c r="I303" s="3" t="s">
        <v>189</v>
      </c>
      <c r="J303" s="3"/>
      <c r="K303" s="3"/>
      <c r="L303" s="3"/>
      <c r="M303" s="7"/>
      <c r="N303" s="3"/>
      <c r="O303" s="3"/>
      <c r="P303" s="3"/>
      <c r="T303" s="38">
        <v>3192</v>
      </c>
      <c r="U303" s="1">
        <v>27</v>
      </c>
    </row>
    <row r="304" spans="1:21" hidden="1" x14ac:dyDescent="0.25">
      <c r="A304" s="8" t="s">
        <v>27</v>
      </c>
      <c r="B304" s="8"/>
      <c r="C304" s="8"/>
      <c r="D304" s="8" t="s">
        <v>319</v>
      </c>
      <c r="E304" s="8" t="s">
        <v>223</v>
      </c>
      <c r="F304" s="9" t="s">
        <v>119</v>
      </c>
      <c r="G304" s="45">
        <v>252</v>
      </c>
      <c r="H304" s="8">
        <v>10</v>
      </c>
      <c r="I304" s="8" t="s">
        <v>303</v>
      </c>
      <c r="J304" s="8"/>
      <c r="K304" s="8"/>
      <c r="L304" s="8"/>
      <c r="M304" s="10"/>
      <c r="N304" s="8"/>
      <c r="O304" s="8"/>
      <c r="P304" s="8"/>
      <c r="Q304" s="1" t="s">
        <v>656</v>
      </c>
      <c r="S304" s="1" t="s">
        <v>764</v>
      </c>
      <c r="U304" s="1"/>
    </row>
    <row r="305" spans="1:24" hidden="1" x14ac:dyDescent="0.25">
      <c r="A305" s="20" t="s">
        <v>54</v>
      </c>
      <c r="B305" s="20"/>
      <c r="C305" s="20"/>
      <c r="D305" s="20" t="s">
        <v>590</v>
      </c>
      <c r="E305" s="20" t="s">
        <v>185</v>
      </c>
      <c r="F305" s="21" t="s">
        <v>71</v>
      </c>
      <c r="G305" s="20">
        <v>311</v>
      </c>
      <c r="H305" s="20" t="s">
        <v>148</v>
      </c>
      <c r="I305" s="20" t="s">
        <v>164</v>
      </c>
      <c r="J305" s="20"/>
      <c r="K305" s="20"/>
      <c r="L305" s="45">
        <v>31</v>
      </c>
      <c r="M305" s="22"/>
      <c r="N305" s="20"/>
      <c r="O305" s="20"/>
      <c r="P305" s="20"/>
    </row>
    <row r="306" spans="1:24" hidden="1" x14ac:dyDescent="0.25">
      <c r="A306" s="11" t="s">
        <v>32</v>
      </c>
      <c r="B306" s="11"/>
      <c r="C306" s="11"/>
      <c r="D306" s="11" t="s">
        <v>335</v>
      </c>
      <c r="E306" s="11" t="s">
        <v>106</v>
      </c>
      <c r="F306" s="44" t="s">
        <v>107</v>
      </c>
      <c r="G306" s="43">
        <v>206</v>
      </c>
      <c r="H306" s="43" t="s">
        <v>336</v>
      </c>
      <c r="I306" s="11" t="s">
        <v>337</v>
      </c>
      <c r="J306" s="43">
        <v>4.3899999999999997</v>
      </c>
      <c r="K306" s="11">
        <v>1.55</v>
      </c>
      <c r="L306" s="11">
        <v>31.5</v>
      </c>
      <c r="M306" s="13" t="s">
        <v>288</v>
      </c>
      <c r="N306" s="11"/>
      <c r="O306" s="11"/>
      <c r="P306" s="11"/>
      <c r="Q306" s="1" t="s">
        <v>661</v>
      </c>
      <c r="S306" s="1" t="s">
        <v>752</v>
      </c>
      <c r="T306" s="38">
        <v>846</v>
      </c>
      <c r="U306" s="1">
        <v>7</v>
      </c>
    </row>
    <row r="307" spans="1:24" hidden="1" x14ac:dyDescent="0.25">
      <c r="A307" s="8" t="s">
        <v>27</v>
      </c>
      <c r="B307" s="8"/>
      <c r="C307" s="8"/>
      <c r="D307" s="8" t="s">
        <v>297</v>
      </c>
      <c r="E307" s="8" t="s">
        <v>298</v>
      </c>
      <c r="F307" s="9" t="s">
        <v>299</v>
      </c>
      <c r="G307" s="8">
        <v>174</v>
      </c>
      <c r="H307" s="8" t="s">
        <v>256</v>
      </c>
      <c r="I307" s="8" t="s">
        <v>300</v>
      </c>
      <c r="J307" s="8"/>
      <c r="K307" s="8"/>
      <c r="L307" s="8"/>
      <c r="M307" s="10"/>
      <c r="N307" s="8"/>
      <c r="O307" s="8"/>
      <c r="P307" s="8"/>
      <c r="S307" s="1" t="s">
        <v>787</v>
      </c>
      <c r="T307" s="38">
        <v>278</v>
      </c>
      <c r="U307" s="1">
        <v>2</v>
      </c>
    </row>
    <row r="308" spans="1:24" hidden="1" x14ac:dyDescent="0.25">
      <c r="A308" s="35" t="s">
        <v>59</v>
      </c>
      <c r="B308" s="35"/>
      <c r="C308" s="35"/>
      <c r="D308" s="35" t="s">
        <v>454</v>
      </c>
      <c r="E308" s="35" t="s">
        <v>42</v>
      </c>
      <c r="F308" s="44" t="s">
        <v>191</v>
      </c>
      <c r="G308" s="35">
        <v>189</v>
      </c>
      <c r="H308" s="35" t="s">
        <v>113</v>
      </c>
      <c r="I308" s="45" t="s">
        <v>141</v>
      </c>
      <c r="J308" s="35"/>
      <c r="K308" s="35"/>
      <c r="L308" s="43">
        <v>41</v>
      </c>
      <c r="M308" s="37" t="s">
        <v>142</v>
      </c>
      <c r="N308" s="35"/>
      <c r="O308" s="35"/>
      <c r="P308" s="35"/>
      <c r="Q308" s="1" t="s">
        <v>661</v>
      </c>
      <c r="S308" s="1" t="s">
        <v>682</v>
      </c>
    </row>
    <row r="309" spans="1:24" hidden="1" x14ac:dyDescent="0.25">
      <c r="A309" s="35" t="s">
        <v>59</v>
      </c>
      <c r="B309" s="35"/>
      <c r="C309" s="35"/>
      <c r="D309" s="35" t="s">
        <v>409</v>
      </c>
      <c r="E309" s="35" t="s">
        <v>264</v>
      </c>
      <c r="F309" s="36" t="s">
        <v>243</v>
      </c>
      <c r="G309" s="35">
        <v>187</v>
      </c>
      <c r="H309" s="35" t="s">
        <v>132</v>
      </c>
      <c r="I309" s="35">
        <v>30</v>
      </c>
      <c r="J309" s="35"/>
      <c r="K309" s="35"/>
      <c r="L309" s="35"/>
      <c r="M309" s="37"/>
      <c r="N309" s="35"/>
      <c r="O309" s="35"/>
      <c r="P309" s="35">
        <v>15</v>
      </c>
      <c r="W309" s="1">
        <v>2</v>
      </c>
      <c r="X309" s="1">
        <v>12</v>
      </c>
    </row>
    <row r="310" spans="1:24" hidden="1" x14ac:dyDescent="0.25">
      <c r="A310" s="20" t="s">
        <v>54</v>
      </c>
      <c r="B310" s="20"/>
      <c r="C310" s="20"/>
      <c r="D310" s="20" t="s">
        <v>579</v>
      </c>
      <c r="E310" s="20" t="s">
        <v>302</v>
      </c>
      <c r="F310" s="21" t="s">
        <v>71</v>
      </c>
      <c r="G310" s="20">
        <v>311</v>
      </c>
      <c r="H310" s="20" t="s">
        <v>57</v>
      </c>
      <c r="I310" s="43" t="s">
        <v>580</v>
      </c>
      <c r="J310" s="20"/>
      <c r="K310" s="20"/>
      <c r="L310" s="20">
        <v>28.5</v>
      </c>
      <c r="M310" s="22" t="s">
        <v>89</v>
      </c>
      <c r="N310" s="20"/>
      <c r="O310" s="20"/>
      <c r="P310" s="20"/>
    </row>
    <row r="311" spans="1:24" hidden="1" x14ac:dyDescent="0.25">
      <c r="A311" s="26" t="s">
        <v>36</v>
      </c>
      <c r="B311" s="26"/>
      <c r="C311" s="26"/>
      <c r="D311" s="26" t="s">
        <v>530</v>
      </c>
      <c r="E311" s="26" t="s">
        <v>531</v>
      </c>
      <c r="F311" s="42" t="s">
        <v>327</v>
      </c>
      <c r="G311" s="26">
        <v>233</v>
      </c>
      <c r="H311" s="26" t="s">
        <v>39</v>
      </c>
      <c r="I311" s="45" t="s">
        <v>461</v>
      </c>
      <c r="J311" s="26">
        <v>4.74</v>
      </c>
      <c r="K311" s="26">
        <v>1.73</v>
      </c>
      <c r="L311" s="43">
        <v>37</v>
      </c>
      <c r="M311" s="28"/>
      <c r="N311" s="26"/>
      <c r="O311" s="26"/>
      <c r="P311" s="26"/>
    </row>
    <row r="312" spans="1:24" hidden="1" x14ac:dyDescent="0.25">
      <c r="A312" s="26" t="s">
        <v>36</v>
      </c>
      <c r="B312" s="26"/>
      <c r="C312" s="26"/>
      <c r="D312" s="26" t="s">
        <v>549</v>
      </c>
      <c r="E312" s="26" t="s">
        <v>95</v>
      </c>
      <c r="F312" s="44" t="s">
        <v>151</v>
      </c>
      <c r="G312" s="43">
        <v>256</v>
      </c>
      <c r="H312" s="26" t="s">
        <v>39</v>
      </c>
      <c r="I312" s="26" t="s">
        <v>168</v>
      </c>
      <c r="J312" s="26">
        <v>4.8899999999999997</v>
      </c>
      <c r="K312" s="26">
        <v>1.68</v>
      </c>
      <c r="L312" s="43">
        <v>35.5</v>
      </c>
      <c r="M312" s="28" t="s">
        <v>192</v>
      </c>
      <c r="N312" s="26"/>
      <c r="O312" s="26"/>
      <c r="P312" s="26"/>
    </row>
    <row r="313" spans="1:24" hidden="1" x14ac:dyDescent="0.25">
      <c r="A313" s="11" t="s">
        <v>32</v>
      </c>
      <c r="B313" s="11"/>
      <c r="C313" s="11"/>
      <c r="D313" s="11" t="s">
        <v>382</v>
      </c>
      <c r="E313" s="11" t="s">
        <v>106</v>
      </c>
      <c r="F313" s="12"/>
      <c r="G313" s="45">
        <v>187</v>
      </c>
      <c r="H313" s="45" t="s">
        <v>126</v>
      </c>
      <c r="I313" s="11" t="s">
        <v>82</v>
      </c>
      <c r="J313" s="11">
        <v>4.57</v>
      </c>
      <c r="K313" s="11">
        <v>1.58</v>
      </c>
      <c r="L313" s="45">
        <v>36</v>
      </c>
      <c r="M313" s="13" t="s">
        <v>290</v>
      </c>
      <c r="N313" s="11"/>
      <c r="O313" s="11"/>
      <c r="P313" s="11"/>
      <c r="Q313" s="1" t="s">
        <v>661</v>
      </c>
      <c r="S313" s="1" t="s">
        <v>747</v>
      </c>
      <c r="T313" s="38">
        <v>705</v>
      </c>
      <c r="U313" s="1">
        <v>6</v>
      </c>
    </row>
    <row r="314" spans="1:24" hidden="1" x14ac:dyDescent="0.25">
      <c r="A314" s="14" t="s">
        <v>99</v>
      </c>
      <c r="B314" s="14"/>
      <c r="C314" s="14"/>
      <c r="D314" s="14" t="s">
        <v>359</v>
      </c>
      <c r="E314" s="14" t="s">
        <v>360</v>
      </c>
      <c r="F314" s="44" t="s">
        <v>361</v>
      </c>
      <c r="G314" s="45">
        <v>249</v>
      </c>
      <c r="H314" s="43">
        <v>10</v>
      </c>
      <c r="I314" s="14">
        <v>31</v>
      </c>
      <c r="J314" s="14">
        <v>4.5999999999999996</v>
      </c>
      <c r="K314" s="14">
        <v>1.6</v>
      </c>
      <c r="L314" s="43">
        <v>35.5</v>
      </c>
      <c r="M314" s="16" t="s">
        <v>248</v>
      </c>
      <c r="N314" s="14"/>
      <c r="O314" s="14"/>
      <c r="P314" s="14"/>
      <c r="T314" s="38">
        <v>217</v>
      </c>
      <c r="U314" s="1">
        <v>1</v>
      </c>
    </row>
  </sheetData>
  <autoFilter ref="A1:X314" xr:uid="{00000000-0001-0000-0000-000000000000}">
    <filterColumn colId="0">
      <filters>
        <filter val="DT"/>
      </filters>
    </filterColumn>
    <sortState xmlns:xlrd2="http://schemas.microsoft.com/office/spreadsheetml/2017/richdata2" ref="A2:X314">
      <sortCondition ref="B2:B314"/>
      <sortCondition ref="C2:C314"/>
    </sortState>
  </autoFilter>
  <sortState xmlns:xlrd2="http://schemas.microsoft.com/office/spreadsheetml/2017/richdata2" ref="A115:F288">
    <sortCondition ref="B2:B314"/>
    <sortCondition ref="C2:C314"/>
  </sortState>
  <conditionalFormatting sqref="R1:R1048576">
    <cfRule type="cellIs" dxfId="2" priority="1" operator="equal">
      <formula>"Low"</formula>
    </cfRule>
    <cfRule type="cellIs" dxfId="1" priority="2" operator="equal">
      <formula>"Medium"</formula>
    </cfRule>
    <cfRule type="cellIs" dxfId="0" priority="3" operator="equal">
      <formula>"High"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09E8-EF75-4A45-BD9B-45BA583A2417}">
  <dimension ref="A3:E109"/>
  <sheetViews>
    <sheetView topLeftCell="A19" workbookViewId="0">
      <selection activeCell="E58" sqref="E58"/>
    </sheetView>
  </sheetViews>
  <sheetFormatPr defaultRowHeight="15" x14ac:dyDescent="0.25"/>
  <cols>
    <col min="1" max="1" width="20.140625" bestFit="1" customWidth="1"/>
    <col min="2" max="2" width="16.85546875" bestFit="1" customWidth="1"/>
    <col min="3" max="4" width="3" bestFit="1" customWidth="1"/>
    <col min="5" max="5" width="11.28515625" bestFit="1" customWidth="1"/>
    <col min="6" max="7" width="3" bestFit="1" customWidth="1"/>
    <col min="8" max="8" width="2" bestFit="1" customWidth="1"/>
    <col min="9" max="9" width="7.28515625" bestFit="1" customWidth="1"/>
    <col min="10" max="10" width="11.28515625" bestFit="1" customWidth="1"/>
  </cols>
  <sheetData>
    <row r="3" spans="1:5" x14ac:dyDescent="0.25">
      <c r="A3" s="39" t="s">
        <v>673</v>
      </c>
      <c r="B3" s="39" t="s">
        <v>698</v>
      </c>
    </row>
    <row r="4" spans="1:5" x14ac:dyDescent="0.25">
      <c r="A4" s="39" t="s">
        <v>671</v>
      </c>
      <c r="B4">
        <v>1</v>
      </c>
      <c r="C4">
        <v>2</v>
      </c>
      <c r="D4">
        <v>3</v>
      </c>
      <c r="E4" t="s">
        <v>672</v>
      </c>
    </row>
    <row r="5" spans="1:5" x14ac:dyDescent="0.25">
      <c r="A5" s="40" t="s">
        <v>24</v>
      </c>
      <c r="B5" s="79">
        <v>3</v>
      </c>
      <c r="C5" s="79">
        <v>3</v>
      </c>
      <c r="D5" s="79"/>
      <c r="E5" s="79">
        <v>6</v>
      </c>
    </row>
    <row r="6" spans="1:5" x14ac:dyDescent="0.25">
      <c r="A6" s="41" t="s">
        <v>59</v>
      </c>
      <c r="B6" s="79"/>
      <c r="C6" s="79">
        <v>1</v>
      </c>
      <c r="D6" s="79"/>
      <c r="E6" s="79">
        <v>1</v>
      </c>
    </row>
    <row r="7" spans="1:5" x14ac:dyDescent="0.25">
      <c r="A7" s="41" t="s">
        <v>36</v>
      </c>
      <c r="B7" s="79">
        <v>1</v>
      </c>
      <c r="C7" s="79"/>
      <c r="D7" s="79"/>
      <c r="E7" s="79">
        <v>1</v>
      </c>
    </row>
    <row r="8" spans="1:5" x14ac:dyDescent="0.25">
      <c r="A8" s="41" t="s">
        <v>69</v>
      </c>
      <c r="B8" s="79">
        <v>1</v>
      </c>
      <c r="C8" s="79"/>
      <c r="D8" s="79"/>
      <c r="E8" s="79">
        <v>1</v>
      </c>
    </row>
    <row r="9" spans="1:5" x14ac:dyDescent="0.25">
      <c r="A9" s="41" t="s">
        <v>22</v>
      </c>
      <c r="B9" s="79">
        <v>1</v>
      </c>
      <c r="C9" s="79"/>
      <c r="D9" s="79"/>
      <c r="E9" s="79">
        <v>1</v>
      </c>
    </row>
    <row r="10" spans="1:5" x14ac:dyDescent="0.25">
      <c r="A10" s="41" t="s">
        <v>32</v>
      </c>
      <c r="B10" s="79"/>
      <c r="C10" s="79">
        <v>1</v>
      </c>
      <c r="D10" s="79"/>
      <c r="E10" s="79">
        <v>1</v>
      </c>
    </row>
    <row r="11" spans="1:5" x14ac:dyDescent="0.25">
      <c r="A11" s="41" t="s">
        <v>834</v>
      </c>
      <c r="B11" s="79"/>
      <c r="C11" s="79">
        <v>1</v>
      </c>
      <c r="D11" s="79"/>
      <c r="E11" s="79">
        <v>1</v>
      </c>
    </row>
    <row r="12" spans="1:5" x14ac:dyDescent="0.25">
      <c r="A12" s="40" t="s">
        <v>138</v>
      </c>
      <c r="B12" s="79">
        <v>2</v>
      </c>
      <c r="C12" s="79"/>
      <c r="D12" s="79">
        <v>3</v>
      </c>
      <c r="E12" s="79">
        <v>5</v>
      </c>
    </row>
    <row r="13" spans="1:5" x14ac:dyDescent="0.25">
      <c r="A13" s="41" t="s">
        <v>59</v>
      </c>
      <c r="B13" s="79"/>
      <c r="C13" s="79"/>
      <c r="D13" s="79">
        <v>1</v>
      </c>
      <c r="E13" s="79">
        <v>1</v>
      </c>
    </row>
    <row r="14" spans="1:5" x14ac:dyDescent="0.25">
      <c r="A14" s="41" t="s">
        <v>36</v>
      </c>
      <c r="B14" s="79">
        <v>1</v>
      </c>
      <c r="C14" s="79"/>
      <c r="D14" s="79"/>
      <c r="E14" s="79">
        <v>1</v>
      </c>
    </row>
    <row r="15" spans="1:5" x14ac:dyDescent="0.25">
      <c r="A15" s="41" t="s">
        <v>83</v>
      </c>
      <c r="B15" s="79"/>
      <c r="C15" s="79"/>
      <c r="D15" s="79">
        <v>1</v>
      </c>
      <c r="E15" s="79">
        <v>1</v>
      </c>
    </row>
    <row r="16" spans="1:5" x14ac:dyDescent="0.25">
      <c r="A16" s="41" t="s">
        <v>54</v>
      </c>
      <c r="B16" s="79"/>
      <c r="C16" s="79"/>
      <c r="D16" s="79">
        <v>1</v>
      </c>
      <c r="E16" s="79">
        <v>1</v>
      </c>
    </row>
    <row r="17" spans="1:5" x14ac:dyDescent="0.25">
      <c r="A17" s="41" t="s">
        <v>32</v>
      </c>
      <c r="B17" s="79">
        <v>1</v>
      </c>
      <c r="C17" s="79"/>
      <c r="D17" s="79"/>
      <c r="E17" s="79">
        <v>1</v>
      </c>
    </row>
    <row r="18" spans="1:5" x14ac:dyDescent="0.25">
      <c r="A18" s="40" t="s">
        <v>80</v>
      </c>
      <c r="B18" s="79">
        <v>1</v>
      </c>
      <c r="C18" s="79">
        <v>1</v>
      </c>
      <c r="D18" s="79">
        <v>2</v>
      </c>
      <c r="E18" s="79">
        <v>4</v>
      </c>
    </row>
    <row r="19" spans="1:5" x14ac:dyDescent="0.25">
      <c r="A19" s="41" t="s">
        <v>59</v>
      </c>
      <c r="B19" s="79">
        <v>1</v>
      </c>
      <c r="C19" s="79">
        <v>1</v>
      </c>
      <c r="D19" s="79"/>
      <c r="E19" s="79">
        <v>2</v>
      </c>
    </row>
    <row r="20" spans="1:5" x14ac:dyDescent="0.25">
      <c r="A20" s="41" t="s">
        <v>36</v>
      </c>
      <c r="B20" s="79"/>
      <c r="C20" s="79"/>
      <c r="D20" s="79">
        <v>1</v>
      </c>
      <c r="E20" s="79">
        <v>1</v>
      </c>
    </row>
    <row r="21" spans="1:5" x14ac:dyDescent="0.25">
      <c r="A21" s="41" t="s">
        <v>32</v>
      </c>
      <c r="B21" s="79"/>
      <c r="C21" s="79"/>
      <c r="D21" s="79">
        <v>1</v>
      </c>
      <c r="E21" s="79">
        <v>1</v>
      </c>
    </row>
    <row r="22" spans="1:5" x14ac:dyDescent="0.25">
      <c r="A22" s="40" t="s">
        <v>66</v>
      </c>
      <c r="B22" s="79">
        <v>1</v>
      </c>
      <c r="C22" s="79">
        <v>2</v>
      </c>
      <c r="D22" s="79">
        <v>1</v>
      </c>
      <c r="E22" s="79">
        <v>4</v>
      </c>
    </row>
    <row r="23" spans="1:5" x14ac:dyDescent="0.25">
      <c r="A23" s="41" t="s">
        <v>59</v>
      </c>
      <c r="B23" s="79">
        <v>1</v>
      </c>
      <c r="C23" s="79"/>
      <c r="D23" s="79"/>
      <c r="E23" s="79">
        <v>1</v>
      </c>
    </row>
    <row r="24" spans="1:5" x14ac:dyDescent="0.25">
      <c r="A24" s="41" t="s">
        <v>36</v>
      </c>
      <c r="B24" s="79"/>
      <c r="C24" s="79"/>
      <c r="D24" s="79">
        <v>1</v>
      </c>
      <c r="E24" s="79">
        <v>1</v>
      </c>
    </row>
    <row r="25" spans="1:5" x14ac:dyDescent="0.25">
      <c r="A25" s="41" t="s">
        <v>54</v>
      </c>
      <c r="B25" s="79"/>
      <c r="C25" s="79">
        <v>1</v>
      </c>
      <c r="D25" s="79"/>
      <c r="E25" s="79">
        <v>1</v>
      </c>
    </row>
    <row r="26" spans="1:5" x14ac:dyDescent="0.25">
      <c r="A26" s="41" t="s">
        <v>834</v>
      </c>
      <c r="B26" s="79"/>
      <c r="C26" s="79">
        <v>1</v>
      </c>
      <c r="D26" s="79"/>
      <c r="E26" s="79">
        <v>1</v>
      </c>
    </row>
    <row r="27" spans="1:5" x14ac:dyDescent="0.25">
      <c r="A27" s="40" t="s">
        <v>115</v>
      </c>
      <c r="B27" s="79">
        <v>1</v>
      </c>
      <c r="C27" s="79">
        <v>2</v>
      </c>
      <c r="D27" s="79">
        <v>1</v>
      </c>
      <c r="E27" s="79">
        <v>4</v>
      </c>
    </row>
    <row r="28" spans="1:5" x14ac:dyDescent="0.25">
      <c r="A28" s="41" t="s">
        <v>69</v>
      </c>
      <c r="B28" s="79"/>
      <c r="C28" s="79"/>
      <c r="D28" s="79">
        <v>1</v>
      </c>
      <c r="E28" s="79">
        <v>1</v>
      </c>
    </row>
    <row r="29" spans="1:5" x14ac:dyDescent="0.25">
      <c r="A29" s="41" t="s">
        <v>54</v>
      </c>
      <c r="B29" s="79">
        <v>1</v>
      </c>
      <c r="C29" s="79"/>
      <c r="D29" s="79"/>
      <c r="E29" s="79">
        <v>1</v>
      </c>
    </row>
    <row r="30" spans="1:5" x14ac:dyDescent="0.25">
      <c r="A30" s="41" t="s">
        <v>32</v>
      </c>
      <c r="B30" s="79"/>
      <c r="C30" s="79">
        <v>1</v>
      </c>
      <c r="D30" s="79"/>
      <c r="E30" s="79">
        <v>1</v>
      </c>
    </row>
    <row r="31" spans="1:5" x14ac:dyDescent="0.25">
      <c r="A31" s="41" t="s">
        <v>834</v>
      </c>
      <c r="B31" s="79"/>
      <c r="C31" s="79">
        <v>1</v>
      </c>
      <c r="D31" s="79"/>
      <c r="E31" s="79">
        <v>1</v>
      </c>
    </row>
    <row r="32" spans="1:5" x14ac:dyDescent="0.25">
      <c r="A32" s="40" t="s">
        <v>51</v>
      </c>
      <c r="B32" s="79">
        <v>2</v>
      </c>
      <c r="C32" s="79">
        <v>1</v>
      </c>
      <c r="D32" s="79">
        <v>1</v>
      </c>
      <c r="E32" s="79">
        <v>4</v>
      </c>
    </row>
    <row r="33" spans="1:5" x14ac:dyDescent="0.25">
      <c r="A33" s="41" t="s">
        <v>59</v>
      </c>
      <c r="B33" s="79"/>
      <c r="C33" s="79"/>
      <c r="D33" s="79">
        <v>1</v>
      </c>
      <c r="E33" s="79">
        <v>1</v>
      </c>
    </row>
    <row r="34" spans="1:5" x14ac:dyDescent="0.25">
      <c r="A34" s="41" t="s">
        <v>36</v>
      </c>
      <c r="B34" s="79">
        <v>1</v>
      </c>
      <c r="C34" s="79">
        <v>1</v>
      </c>
      <c r="D34" s="79"/>
      <c r="E34" s="79">
        <v>2</v>
      </c>
    </row>
    <row r="35" spans="1:5" x14ac:dyDescent="0.25">
      <c r="A35" s="41" t="s">
        <v>54</v>
      </c>
      <c r="B35" s="79">
        <v>1</v>
      </c>
      <c r="C35" s="79"/>
      <c r="D35" s="79"/>
      <c r="E35" s="79">
        <v>1</v>
      </c>
    </row>
    <row r="36" spans="1:5" x14ac:dyDescent="0.25">
      <c r="A36" s="40" t="s">
        <v>101</v>
      </c>
      <c r="B36" s="79">
        <v>2</v>
      </c>
      <c r="C36" s="79">
        <v>1</v>
      </c>
      <c r="D36" s="79"/>
      <c r="E36" s="79">
        <v>3</v>
      </c>
    </row>
    <row r="37" spans="1:5" x14ac:dyDescent="0.25">
      <c r="A37" s="41" t="s">
        <v>83</v>
      </c>
      <c r="B37" s="79"/>
      <c r="C37" s="79">
        <v>1</v>
      </c>
      <c r="D37" s="79"/>
      <c r="E37" s="79">
        <v>1</v>
      </c>
    </row>
    <row r="38" spans="1:5" x14ac:dyDescent="0.25">
      <c r="A38" s="41" t="s">
        <v>22</v>
      </c>
      <c r="B38" s="79">
        <v>1</v>
      </c>
      <c r="C38" s="79"/>
      <c r="D38" s="79"/>
      <c r="E38" s="79">
        <v>1</v>
      </c>
    </row>
    <row r="39" spans="1:5" x14ac:dyDescent="0.25">
      <c r="A39" s="41" t="s">
        <v>99</v>
      </c>
      <c r="B39" s="79">
        <v>1</v>
      </c>
      <c r="C39" s="79"/>
      <c r="D39" s="79"/>
      <c r="E39" s="79">
        <v>1</v>
      </c>
    </row>
    <row r="40" spans="1:5" x14ac:dyDescent="0.25">
      <c r="A40" s="40" t="s">
        <v>18</v>
      </c>
      <c r="B40" s="79"/>
      <c r="C40" s="79">
        <v>3</v>
      </c>
      <c r="D40" s="79"/>
      <c r="E40" s="79">
        <v>3</v>
      </c>
    </row>
    <row r="41" spans="1:5" x14ac:dyDescent="0.25">
      <c r="A41" s="41" t="s">
        <v>59</v>
      </c>
      <c r="B41" s="79"/>
      <c r="C41" s="79">
        <v>1</v>
      </c>
      <c r="D41" s="79"/>
      <c r="E41" s="79">
        <v>1</v>
      </c>
    </row>
    <row r="42" spans="1:5" x14ac:dyDescent="0.25">
      <c r="A42" s="41" t="s">
        <v>16</v>
      </c>
      <c r="B42" s="79"/>
      <c r="C42" s="79">
        <v>1</v>
      </c>
      <c r="D42" s="79"/>
      <c r="E42" s="79">
        <v>1</v>
      </c>
    </row>
    <row r="43" spans="1:5" x14ac:dyDescent="0.25">
      <c r="A43" s="41" t="s">
        <v>32</v>
      </c>
      <c r="B43" s="79"/>
      <c r="C43" s="79">
        <v>1</v>
      </c>
      <c r="D43" s="79"/>
      <c r="E43" s="79">
        <v>1</v>
      </c>
    </row>
    <row r="44" spans="1:5" x14ac:dyDescent="0.25">
      <c r="A44" s="40" t="s">
        <v>85</v>
      </c>
      <c r="B44" s="79">
        <v>1</v>
      </c>
      <c r="C44" s="79">
        <v>1</v>
      </c>
      <c r="D44" s="79">
        <v>1</v>
      </c>
      <c r="E44" s="79">
        <v>3</v>
      </c>
    </row>
    <row r="45" spans="1:5" x14ac:dyDescent="0.25">
      <c r="A45" s="41" t="s">
        <v>36</v>
      </c>
      <c r="B45" s="79"/>
      <c r="C45" s="79"/>
      <c r="D45" s="79">
        <v>1</v>
      </c>
      <c r="E45" s="79">
        <v>1</v>
      </c>
    </row>
    <row r="46" spans="1:5" x14ac:dyDescent="0.25">
      <c r="A46" s="41" t="s">
        <v>83</v>
      </c>
      <c r="B46" s="79">
        <v>1</v>
      </c>
      <c r="C46" s="79"/>
      <c r="D46" s="79"/>
      <c r="E46" s="79">
        <v>1</v>
      </c>
    </row>
    <row r="47" spans="1:5" x14ac:dyDescent="0.25">
      <c r="A47" s="41" t="s">
        <v>22</v>
      </c>
      <c r="B47" s="79"/>
      <c r="C47" s="79">
        <v>1</v>
      </c>
      <c r="D47" s="79"/>
      <c r="E47" s="79">
        <v>1</v>
      </c>
    </row>
    <row r="48" spans="1:5" x14ac:dyDescent="0.25">
      <c r="A48" s="40" t="s">
        <v>106</v>
      </c>
      <c r="B48" s="79">
        <v>1</v>
      </c>
      <c r="C48" s="79">
        <v>1</v>
      </c>
      <c r="D48" s="79">
        <v>1</v>
      </c>
      <c r="E48" s="79">
        <v>3</v>
      </c>
    </row>
    <row r="49" spans="1:5" x14ac:dyDescent="0.25">
      <c r="A49" s="41" t="s">
        <v>36</v>
      </c>
      <c r="B49" s="79">
        <v>1</v>
      </c>
      <c r="C49" s="79">
        <v>1</v>
      </c>
      <c r="D49" s="79"/>
      <c r="E49" s="79">
        <v>2</v>
      </c>
    </row>
    <row r="50" spans="1:5" x14ac:dyDescent="0.25">
      <c r="A50" s="41" t="s">
        <v>69</v>
      </c>
      <c r="B50" s="79"/>
      <c r="C50" s="79"/>
      <c r="D50" s="79">
        <v>1</v>
      </c>
      <c r="E50" s="79">
        <v>1</v>
      </c>
    </row>
    <row r="51" spans="1:5" x14ac:dyDescent="0.25">
      <c r="A51" s="40" t="s">
        <v>34</v>
      </c>
      <c r="B51" s="79">
        <v>1</v>
      </c>
      <c r="C51" s="79"/>
      <c r="D51" s="79">
        <v>2</v>
      </c>
      <c r="E51" s="79">
        <v>3</v>
      </c>
    </row>
    <row r="52" spans="1:5" x14ac:dyDescent="0.25">
      <c r="A52" s="41" t="s">
        <v>59</v>
      </c>
      <c r="B52" s="79"/>
      <c r="C52" s="79"/>
      <c r="D52" s="79">
        <v>1</v>
      </c>
      <c r="E52" s="79">
        <v>1</v>
      </c>
    </row>
    <row r="53" spans="1:5" x14ac:dyDescent="0.25">
      <c r="A53" s="41" t="s">
        <v>54</v>
      </c>
      <c r="B53" s="79"/>
      <c r="C53" s="79"/>
      <c r="D53" s="79">
        <v>1</v>
      </c>
      <c r="E53" s="79">
        <v>1</v>
      </c>
    </row>
    <row r="54" spans="1:5" x14ac:dyDescent="0.25">
      <c r="A54" s="41" t="s">
        <v>32</v>
      </c>
      <c r="B54" s="79">
        <v>1</v>
      </c>
      <c r="C54" s="79"/>
      <c r="D54" s="79"/>
      <c r="E54" s="79">
        <v>1</v>
      </c>
    </row>
    <row r="55" spans="1:5" x14ac:dyDescent="0.25">
      <c r="A55" s="40" t="s">
        <v>42</v>
      </c>
      <c r="B55" s="79"/>
      <c r="C55" s="79">
        <v>2</v>
      </c>
      <c r="D55" s="79"/>
      <c r="E55" s="79">
        <v>2</v>
      </c>
    </row>
    <row r="56" spans="1:5" x14ac:dyDescent="0.25">
      <c r="A56" s="41" t="s">
        <v>54</v>
      </c>
      <c r="B56" s="79"/>
      <c r="C56" s="79">
        <v>1</v>
      </c>
      <c r="D56" s="79"/>
      <c r="E56" s="79">
        <v>1</v>
      </c>
    </row>
    <row r="57" spans="1:5" x14ac:dyDescent="0.25">
      <c r="A57" s="41" t="s">
        <v>16</v>
      </c>
      <c r="B57" s="79"/>
      <c r="C57" s="79">
        <v>1</v>
      </c>
      <c r="D57" s="79"/>
      <c r="E57" s="79">
        <v>1</v>
      </c>
    </row>
    <row r="58" spans="1:5" x14ac:dyDescent="0.25">
      <c r="A58" s="40" t="s">
        <v>397</v>
      </c>
      <c r="B58" s="79"/>
      <c r="C58" s="79">
        <v>1</v>
      </c>
      <c r="D58" s="79">
        <v>1</v>
      </c>
      <c r="E58" s="79">
        <v>2</v>
      </c>
    </row>
    <row r="59" spans="1:5" x14ac:dyDescent="0.25">
      <c r="A59" s="41" t="s">
        <v>83</v>
      </c>
      <c r="B59" s="79"/>
      <c r="C59" s="79">
        <v>1</v>
      </c>
      <c r="D59" s="79">
        <v>1</v>
      </c>
      <c r="E59" s="79">
        <v>2</v>
      </c>
    </row>
    <row r="60" spans="1:5" x14ac:dyDescent="0.25">
      <c r="A60" s="40" t="s">
        <v>29</v>
      </c>
      <c r="B60" s="79">
        <v>1</v>
      </c>
      <c r="C60" s="79">
        <v>1</v>
      </c>
      <c r="D60" s="79"/>
      <c r="E60" s="79">
        <v>2</v>
      </c>
    </row>
    <row r="61" spans="1:5" x14ac:dyDescent="0.25">
      <c r="A61" s="41" t="s">
        <v>27</v>
      </c>
      <c r="B61" s="79">
        <v>1</v>
      </c>
      <c r="C61" s="79">
        <v>1</v>
      </c>
      <c r="D61" s="79"/>
      <c r="E61" s="79">
        <v>2</v>
      </c>
    </row>
    <row r="62" spans="1:5" x14ac:dyDescent="0.25">
      <c r="A62" s="40" t="s">
        <v>75</v>
      </c>
      <c r="B62" s="79">
        <v>1</v>
      </c>
      <c r="C62" s="79"/>
      <c r="D62" s="79">
        <v>1</v>
      </c>
      <c r="E62" s="79">
        <v>2</v>
      </c>
    </row>
    <row r="63" spans="1:5" x14ac:dyDescent="0.25">
      <c r="A63" s="41" t="s">
        <v>36</v>
      </c>
      <c r="B63" s="79"/>
      <c r="C63" s="79"/>
      <c r="D63" s="79">
        <v>1</v>
      </c>
      <c r="E63" s="79">
        <v>1</v>
      </c>
    </row>
    <row r="64" spans="1:5" x14ac:dyDescent="0.25">
      <c r="A64" s="41" t="s">
        <v>32</v>
      </c>
      <c r="B64" s="79">
        <v>1</v>
      </c>
      <c r="C64" s="79"/>
      <c r="D64" s="79"/>
      <c r="E64" s="79">
        <v>1</v>
      </c>
    </row>
    <row r="65" spans="1:5" x14ac:dyDescent="0.25">
      <c r="A65" s="40" t="s">
        <v>91</v>
      </c>
      <c r="B65" s="79">
        <v>2</v>
      </c>
      <c r="C65" s="79"/>
      <c r="D65" s="79"/>
      <c r="E65" s="79">
        <v>2</v>
      </c>
    </row>
    <row r="66" spans="1:5" x14ac:dyDescent="0.25">
      <c r="A66" s="41" t="s">
        <v>54</v>
      </c>
      <c r="B66" s="79">
        <v>2</v>
      </c>
      <c r="C66" s="79"/>
      <c r="D66" s="79"/>
      <c r="E66" s="79">
        <v>2</v>
      </c>
    </row>
    <row r="67" spans="1:5" x14ac:dyDescent="0.25">
      <c r="A67" s="40" t="s">
        <v>556</v>
      </c>
      <c r="B67" s="79"/>
      <c r="C67" s="79">
        <v>1</v>
      </c>
      <c r="D67" s="79"/>
      <c r="E67" s="79">
        <v>1</v>
      </c>
    </row>
    <row r="68" spans="1:5" x14ac:dyDescent="0.25">
      <c r="A68" s="41" t="s">
        <v>36</v>
      </c>
      <c r="B68" s="79"/>
      <c r="C68" s="79">
        <v>1</v>
      </c>
      <c r="D68" s="79"/>
      <c r="E68" s="79">
        <v>1</v>
      </c>
    </row>
    <row r="69" spans="1:5" x14ac:dyDescent="0.25">
      <c r="A69" s="40" t="s">
        <v>252</v>
      </c>
      <c r="B69" s="79"/>
      <c r="C69" s="79">
        <v>1</v>
      </c>
      <c r="D69" s="79"/>
      <c r="E69" s="79">
        <v>1</v>
      </c>
    </row>
    <row r="70" spans="1:5" x14ac:dyDescent="0.25">
      <c r="A70" s="41" t="s">
        <v>69</v>
      </c>
      <c r="B70" s="79"/>
      <c r="C70" s="79">
        <v>1</v>
      </c>
      <c r="D70" s="79"/>
      <c r="E70" s="79">
        <v>1</v>
      </c>
    </row>
    <row r="71" spans="1:5" x14ac:dyDescent="0.25">
      <c r="A71" s="40" t="s">
        <v>276</v>
      </c>
      <c r="B71" s="79"/>
      <c r="C71" s="79"/>
      <c r="D71" s="79">
        <v>1</v>
      </c>
      <c r="E71" s="79">
        <v>1</v>
      </c>
    </row>
    <row r="72" spans="1:5" x14ac:dyDescent="0.25">
      <c r="A72" s="41" t="s">
        <v>22</v>
      </c>
      <c r="B72" s="79"/>
      <c r="C72" s="79"/>
      <c r="D72" s="79">
        <v>1</v>
      </c>
      <c r="E72" s="79">
        <v>1</v>
      </c>
    </row>
    <row r="73" spans="1:5" x14ac:dyDescent="0.25">
      <c r="A73" s="40" t="s">
        <v>187</v>
      </c>
      <c r="B73" s="79"/>
      <c r="C73" s="79"/>
      <c r="D73" s="79">
        <v>1</v>
      </c>
      <c r="E73" s="79">
        <v>1</v>
      </c>
    </row>
    <row r="74" spans="1:5" x14ac:dyDescent="0.25">
      <c r="A74" s="41" t="s">
        <v>99</v>
      </c>
      <c r="B74" s="79"/>
      <c r="C74" s="79"/>
      <c r="D74" s="79">
        <v>1</v>
      </c>
      <c r="E74" s="79">
        <v>1</v>
      </c>
    </row>
    <row r="75" spans="1:5" x14ac:dyDescent="0.25">
      <c r="A75" s="40" t="s">
        <v>407</v>
      </c>
      <c r="B75" s="79"/>
      <c r="C75" s="79"/>
      <c r="D75" s="79">
        <v>1</v>
      </c>
      <c r="E75" s="79">
        <v>1</v>
      </c>
    </row>
    <row r="76" spans="1:5" x14ac:dyDescent="0.25">
      <c r="A76" s="41" t="s">
        <v>22</v>
      </c>
      <c r="B76" s="79"/>
      <c r="C76" s="79"/>
      <c r="D76" s="79">
        <v>1</v>
      </c>
      <c r="E76" s="79">
        <v>1</v>
      </c>
    </row>
    <row r="77" spans="1:5" x14ac:dyDescent="0.25">
      <c r="A77" s="40" t="s">
        <v>175</v>
      </c>
      <c r="B77" s="79"/>
      <c r="C77" s="79">
        <v>1</v>
      </c>
      <c r="D77" s="79"/>
      <c r="E77" s="79">
        <v>1</v>
      </c>
    </row>
    <row r="78" spans="1:5" x14ac:dyDescent="0.25">
      <c r="A78" s="41" t="s">
        <v>834</v>
      </c>
      <c r="B78" s="79"/>
      <c r="C78" s="79">
        <v>1</v>
      </c>
      <c r="D78" s="79"/>
      <c r="E78" s="79">
        <v>1</v>
      </c>
    </row>
    <row r="79" spans="1:5" x14ac:dyDescent="0.25">
      <c r="A79" s="40" t="s">
        <v>95</v>
      </c>
      <c r="B79" s="79"/>
      <c r="C79" s="79"/>
      <c r="D79" s="79">
        <v>1</v>
      </c>
      <c r="E79" s="79">
        <v>1</v>
      </c>
    </row>
    <row r="80" spans="1:5" x14ac:dyDescent="0.25">
      <c r="A80" s="41" t="s">
        <v>36</v>
      </c>
      <c r="B80" s="79"/>
      <c r="C80" s="79"/>
      <c r="D80" s="79">
        <v>1</v>
      </c>
      <c r="E80" s="79">
        <v>1</v>
      </c>
    </row>
    <row r="81" spans="1:5" x14ac:dyDescent="0.25">
      <c r="A81" s="40" t="s">
        <v>246</v>
      </c>
      <c r="B81" s="79"/>
      <c r="C81" s="79"/>
      <c r="D81" s="79">
        <v>1</v>
      </c>
      <c r="E81" s="79">
        <v>1</v>
      </c>
    </row>
    <row r="82" spans="1:5" x14ac:dyDescent="0.25">
      <c r="A82" s="41" t="s">
        <v>27</v>
      </c>
      <c r="B82" s="79"/>
      <c r="C82" s="79"/>
      <c r="D82" s="79">
        <v>1</v>
      </c>
      <c r="E82" s="79">
        <v>1</v>
      </c>
    </row>
    <row r="83" spans="1:5" x14ac:dyDescent="0.25">
      <c r="A83" s="40" t="s">
        <v>211</v>
      </c>
      <c r="B83" s="79"/>
      <c r="C83" s="79"/>
      <c r="D83" s="79">
        <v>1</v>
      </c>
      <c r="E83" s="79">
        <v>1</v>
      </c>
    </row>
    <row r="84" spans="1:5" x14ac:dyDescent="0.25">
      <c r="A84" s="41" t="s">
        <v>32</v>
      </c>
      <c r="B84" s="79"/>
      <c r="C84" s="79"/>
      <c r="D84" s="79">
        <v>1</v>
      </c>
      <c r="E84" s="79">
        <v>1</v>
      </c>
    </row>
    <row r="85" spans="1:5" x14ac:dyDescent="0.25">
      <c r="A85" s="40" t="s">
        <v>264</v>
      </c>
      <c r="B85" s="79"/>
      <c r="C85" s="79">
        <v>1</v>
      </c>
      <c r="D85" s="79"/>
      <c r="E85" s="79">
        <v>1</v>
      </c>
    </row>
    <row r="86" spans="1:5" x14ac:dyDescent="0.25">
      <c r="A86" s="41" t="s">
        <v>83</v>
      </c>
      <c r="B86" s="79"/>
      <c r="C86" s="79">
        <v>1</v>
      </c>
      <c r="D86" s="79"/>
      <c r="E86" s="79">
        <v>1</v>
      </c>
    </row>
    <row r="87" spans="1:5" x14ac:dyDescent="0.25">
      <c r="A87" s="40" t="s">
        <v>61</v>
      </c>
      <c r="B87" s="79">
        <v>1</v>
      </c>
      <c r="C87" s="79"/>
      <c r="D87" s="79"/>
      <c r="E87" s="79">
        <v>1</v>
      </c>
    </row>
    <row r="88" spans="1:5" x14ac:dyDescent="0.25">
      <c r="A88" s="41" t="s">
        <v>59</v>
      </c>
      <c r="B88" s="79">
        <v>1</v>
      </c>
      <c r="C88" s="79"/>
      <c r="D88" s="79"/>
      <c r="E88" s="79">
        <v>1</v>
      </c>
    </row>
    <row r="89" spans="1:5" x14ac:dyDescent="0.25">
      <c r="A89" s="40" t="s">
        <v>162</v>
      </c>
      <c r="B89" s="79">
        <v>1</v>
      </c>
      <c r="C89" s="79"/>
      <c r="D89" s="79"/>
      <c r="E89" s="79">
        <v>1</v>
      </c>
    </row>
    <row r="90" spans="1:5" x14ac:dyDescent="0.25">
      <c r="A90" s="41" t="s">
        <v>36</v>
      </c>
      <c r="B90" s="79">
        <v>1</v>
      </c>
      <c r="C90" s="79"/>
      <c r="D90" s="79"/>
      <c r="E90" s="79">
        <v>1</v>
      </c>
    </row>
    <row r="91" spans="1:5" x14ac:dyDescent="0.25">
      <c r="A91" s="40" t="s">
        <v>125</v>
      </c>
      <c r="B91" s="79"/>
      <c r="C91" s="79">
        <v>1</v>
      </c>
      <c r="D91" s="79"/>
      <c r="E91" s="79">
        <v>1</v>
      </c>
    </row>
    <row r="92" spans="1:5" x14ac:dyDescent="0.25">
      <c r="A92" s="41" t="s">
        <v>22</v>
      </c>
      <c r="B92" s="79"/>
      <c r="C92" s="79">
        <v>1</v>
      </c>
      <c r="D92" s="79"/>
      <c r="E92" s="79">
        <v>1</v>
      </c>
    </row>
    <row r="93" spans="1:5" x14ac:dyDescent="0.25">
      <c r="A93" s="40" t="s">
        <v>446</v>
      </c>
      <c r="B93" s="79"/>
      <c r="C93" s="79">
        <v>1</v>
      </c>
      <c r="D93" s="79"/>
      <c r="E93" s="79">
        <v>1</v>
      </c>
    </row>
    <row r="94" spans="1:5" x14ac:dyDescent="0.25">
      <c r="A94" s="41" t="s">
        <v>59</v>
      </c>
      <c r="B94" s="79"/>
      <c r="C94" s="79">
        <v>1</v>
      </c>
      <c r="D94" s="79"/>
      <c r="E94" s="79">
        <v>1</v>
      </c>
    </row>
    <row r="95" spans="1:5" x14ac:dyDescent="0.25">
      <c r="A95" s="40" t="s">
        <v>214</v>
      </c>
      <c r="B95" s="79"/>
      <c r="C95" s="79"/>
      <c r="D95" s="79">
        <v>1</v>
      </c>
      <c r="E95" s="79">
        <v>1</v>
      </c>
    </row>
    <row r="96" spans="1:5" x14ac:dyDescent="0.25">
      <c r="A96" s="41" t="s">
        <v>32</v>
      </c>
      <c r="B96" s="79"/>
      <c r="C96" s="79"/>
      <c r="D96" s="79">
        <v>1</v>
      </c>
      <c r="E96" s="79">
        <v>1</v>
      </c>
    </row>
    <row r="97" spans="1:5" x14ac:dyDescent="0.25">
      <c r="A97" s="40" t="s">
        <v>428</v>
      </c>
      <c r="B97" s="79"/>
      <c r="C97" s="79">
        <v>1</v>
      </c>
      <c r="D97" s="79"/>
      <c r="E97" s="79">
        <v>1</v>
      </c>
    </row>
    <row r="98" spans="1:5" x14ac:dyDescent="0.25">
      <c r="A98" s="41" t="s">
        <v>59</v>
      </c>
      <c r="B98" s="79"/>
      <c r="C98" s="79">
        <v>1</v>
      </c>
      <c r="D98" s="79"/>
      <c r="E98" s="79">
        <v>1</v>
      </c>
    </row>
    <row r="99" spans="1:5" x14ac:dyDescent="0.25">
      <c r="A99" s="40" t="s">
        <v>140</v>
      </c>
      <c r="B99" s="79"/>
      <c r="C99" s="79">
        <v>1</v>
      </c>
      <c r="D99" s="79"/>
      <c r="E99" s="79">
        <v>1</v>
      </c>
    </row>
    <row r="100" spans="1:5" x14ac:dyDescent="0.25">
      <c r="A100" s="41" t="s">
        <v>59</v>
      </c>
      <c r="B100" s="79"/>
      <c r="C100" s="79">
        <v>1</v>
      </c>
      <c r="D100" s="79"/>
      <c r="E100" s="79">
        <v>1</v>
      </c>
    </row>
    <row r="101" spans="1:5" x14ac:dyDescent="0.25">
      <c r="A101" s="40" t="s">
        <v>185</v>
      </c>
      <c r="B101" s="79"/>
      <c r="C101" s="79"/>
      <c r="D101" s="79">
        <v>1</v>
      </c>
      <c r="E101" s="79">
        <v>1</v>
      </c>
    </row>
    <row r="102" spans="1:5" x14ac:dyDescent="0.25">
      <c r="A102" s="41" t="s">
        <v>69</v>
      </c>
      <c r="B102" s="79"/>
      <c r="C102" s="79"/>
      <c r="D102" s="79">
        <v>1</v>
      </c>
      <c r="E102" s="79">
        <v>1</v>
      </c>
    </row>
    <row r="103" spans="1:5" x14ac:dyDescent="0.25">
      <c r="A103" s="40" t="s">
        <v>130</v>
      </c>
      <c r="B103" s="79"/>
      <c r="C103" s="79">
        <v>1</v>
      </c>
      <c r="D103" s="79"/>
      <c r="E103" s="79">
        <v>1</v>
      </c>
    </row>
    <row r="104" spans="1:5" x14ac:dyDescent="0.25">
      <c r="A104" s="41" t="s">
        <v>32</v>
      </c>
      <c r="B104" s="79"/>
      <c r="C104" s="79">
        <v>1</v>
      </c>
      <c r="D104" s="79"/>
      <c r="E104" s="79">
        <v>1</v>
      </c>
    </row>
    <row r="105" spans="1:5" x14ac:dyDescent="0.25">
      <c r="A105" s="40" t="s">
        <v>205</v>
      </c>
      <c r="B105" s="79"/>
      <c r="C105" s="79"/>
      <c r="D105" s="79">
        <v>1</v>
      </c>
      <c r="E105" s="79">
        <v>1</v>
      </c>
    </row>
    <row r="106" spans="1:5" x14ac:dyDescent="0.25">
      <c r="A106" s="41" t="s">
        <v>27</v>
      </c>
      <c r="B106" s="79"/>
      <c r="C106" s="79"/>
      <c r="D106" s="79">
        <v>1</v>
      </c>
      <c r="E106" s="79">
        <v>1</v>
      </c>
    </row>
    <row r="107" spans="1:5" x14ac:dyDescent="0.25">
      <c r="A107" s="40" t="s">
        <v>323</v>
      </c>
      <c r="B107" s="79"/>
      <c r="C107" s="79"/>
      <c r="D107" s="79">
        <v>1</v>
      </c>
      <c r="E107" s="79">
        <v>1</v>
      </c>
    </row>
    <row r="108" spans="1:5" x14ac:dyDescent="0.25">
      <c r="A108" s="41" t="s">
        <v>32</v>
      </c>
      <c r="B108" s="79"/>
      <c r="C108" s="79"/>
      <c r="D108" s="79">
        <v>1</v>
      </c>
      <c r="E108" s="79">
        <v>1</v>
      </c>
    </row>
    <row r="109" spans="1:5" x14ac:dyDescent="0.25">
      <c r="A109" s="40" t="s">
        <v>672</v>
      </c>
      <c r="B109" s="79">
        <v>21</v>
      </c>
      <c r="C109" s="79">
        <v>28</v>
      </c>
      <c r="D109" s="79">
        <v>24</v>
      </c>
      <c r="E109" s="79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B43E-7C72-4A71-9F9E-894BCE81E7D7}">
  <dimension ref="A1:AE17"/>
  <sheetViews>
    <sheetView showGridLines="0" zoomScale="190" zoomScaleNormal="190" workbookViewId="0">
      <selection activeCell="G16" sqref="G16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7" width="3" bestFit="1" customWidth="1"/>
    <col min="8" max="8" width="7.28515625" bestFit="1" customWidth="1"/>
    <col min="9" max="9" width="11.28515625" bestFit="1" customWidth="1"/>
    <col min="10" max="10" width="5.28515625" bestFit="1" customWidth="1"/>
    <col min="11" max="12" width="2" bestFit="1" customWidth="1"/>
    <col min="13" max="15" width="3" bestFit="1" customWidth="1"/>
    <col min="16" max="16" width="7.28515625" bestFit="1" customWidth="1"/>
    <col min="17" max="17" width="5.5703125" bestFit="1" customWidth="1"/>
    <col min="18" max="20" width="3.28515625" bestFit="1" customWidth="1"/>
    <col min="21" max="21" width="3" bestFit="1" customWidth="1"/>
    <col min="22" max="23" width="3" customWidth="1"/>
    <col min="24" max="26" width="3.28515625" bestFit="1" customWidth="1"/>
    <col min="27" max="27" width="2" customWidth="1"/>
    <col min="28" max="30" width="3" bestFit="1" customWidth="1"/>
    <col min="31" max="31" width="7.42578125" style="52" bestFit="1" customWidth="1"/>
    <col min="32" max="32" width="3" bestFit="1" customWidth="1"/>
    <col min="33" max="33" width="2" bestFit="1" customWidth="1"/>
    <col min="34" max="35" width="3" bestFit="1" customWidth="1"/>
    <col min="36" max="36" width="7.28515625" bestFit="1" customWidth="1"/>
    <col min="37" max="37" width="8" bestFit="1" customWidth="1"/>
    <col min="38" max="38" width="5.28515625" bestFit="1" customWidth="1"/>
    <col min="39" max="40" width="2" bestFit="1" customWidth="1"/>
    <col min="41" max="43" width="3" bestFit="1" customWidth="1"/>
    <col min="44" max="44" width="7.28515625" bestFit="1" customWidth="1"/>
    <col min="45" max="45" width="8.28515625" bestFit="1" customWidth="1"/>
    <col min="46" max="46" width="5.42578125" bestFit="1" customWidth="1"/>
    <col min="47" max="48" width="2" bestFit="1" customWidth="1"/>
    <col min="49" max="50" width="3" bestFit="1" customWidth="1"/>
    <col min="51" max="51" width="7.28515625" bestFit="1" customWidth="1"/>
    <col min="52" max="52" width="8.42578125" bestFit="1" customWidth="1"/>
    <col min="53" max="53" width="5.28515625" bestFit="1" customWidth="1"/>
    <col min="54" max="55" width="2" bestFit="1" customWidth="1"/>
    <col min="56" max="58" width="3" bestFit="1" customWidth="1"/>
    <col min="59" max="59" width="7.28515625" bestFit="1" customWidth="1"/>
    <col min="60" max="60" width="8.28515625" bestFit="1" customWidth="1"/>
    <col min="61" max="61" width="4" bestFit="1" customWidth="1"/>
    <col min="62" max="63" width="2" bestFit="1" customWidth="1"/>
    <col min="64" max="65" width="3" bestFit="1" customWidth="1"/>
    <col min="66" max="66" width="7.28515625" bestFit="1" customWidth="1"/>
    <col min="67" max="67" width="7" bestFit="1" customWidth="1"/>
    <col min="68" max="68" width="5" bestFit="1" customWidth="1"/>
    <col min="69" max="70" width="2" bestFit="1" customWidth="1"/>
    <col min="71" max="72" width="3" bestFit="1" customWidth="1"/>
    <col min="73" max="73" width="7.28515625" bestFit="1" customWidth="1"/>
    <col min="74" max="74" width="8" bestFit="1" customWidth="1"/>
    <col min="75" max="75" width="6" bestFit="1" customWidth="1"/>
    <col min="76" max="76" width="2" bestFit="1" customWidth="1"/>
    <col min="77" max="80" width="3" bestFit="1" customWidth="1"/>
    <col min="81" max="81" width="7.28515625" bestFit="1" customWidth="1"/>
    <col min="82" max="82" width="9" bestFit="1" customWidth="1"/>
    <col min="83" max="83" width="11.28515625" bestFit="1" customWidth="1"/>
  </cols>
  <sheetData>
    <row r="1" spans="1:31" x14ac:dyDescent="0.25">
      <c r="R1" s="74" t="s">
        <v>744</v>
      </c>
      <c r="S1" s="74"/>
      <c r="T1" s="74"/>
      <c r="X1" s="75" t="s">
        <v>744</v>
      </c>
      <c r="Y1" s="75"/>
      <c r="Z1" s="75"/>
      <c r="AB1" s="73" t="s">
        <v>743</v>
      </c>
      <c r="AC1" s="73"/>
      <c r="AD1" s="73"/>
    </row>
    <row r="2" spans="1:31" x14ac:dyDescent="0.25">
      <c r="R2" s="77">
        <v>2026</v>
      </c>
      <c r="S2" s="77"/>
      <c r="T2" s="77"/>
      <c r="X2" s="78">
        <v>2025</v>
      </c>
      <c r="Y2" s="78"/>
      <c r="Z2" s="78"/>
      <c r="AB2" s="73">
        <v>2025</v>
      </c>
      <c r="AC2" s="73"/>
      <c r="AD2" s="73"/>
    </row>
    <row r="3" spans="1:31" x14ac:dyDescent="0.25">
      <c r="A3" s="39" t="s">
        <v>742</v>
      </c>
      <c r="B3" s="39" t="s">
        <v>698</v>
      </c>
      <c r="R3" s="49">
        <v>1</v>
      </c>
      <c r="S3" s="49">
        <v>2</v>
      </c>
      <c r="T3" s="49">
        <v>3</v>
      </c>
      <c r="X3" s="50">
        <v>1</v>
      </c>
      <c r="Y3" s="50">
        <v>2</v>
      </c>
      <c r="Z3" s="50">
        <v>3</v>
      </c>
      <c r="AB3" s="51">
        <v>1</v>
      </c>
      <c r="AC3" s="51">
        <v>2</v>
      </c>
      <c r="AD3" s="51">
        <v>3</v>
      </c>
    </row>
    <row r="4" spans="1:31" x14ac:dyDescent="0.25">
      <c r="A4" s="39" t="s">
        <v>671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 t="s">
        <v>741</v>
      </c>
      <c r="I4" t="s">
        <v>672</v>
      </c>
      <c r="Q4" t="s">
        <v>16</v>
      </c>
      <c r="S4">
        <v>2</v>
      </c>
      <c r="T4">
        <v>1</v>
      </c>
      <c r="X4">
        <v>1</v>
      </c>
      <c r="Y4">
        <v>4</v>
      </c>
      <c r="Z4">
        <v>2</v>
      </c>
      <c r="AB4">
        <v>2</v>
      </c>
      <c r="AC4">
        <v>1</v>
      </c>
      <c r="AD4">
        <v>2</v>
      </c>
      <c r="AE4" s="52">
        <f t="shared" ref="AE4:AE9" si="0">SUM(X4:Z4)/SUM(AB4:AD4)</f>
        <v>1.4</v>
      </c>
    </row>
    <row r="5" spans="1:31" x14ac:dyDescent="0.25">
      <c r="A5" s="40" t="s">
        <v>59</v>
      </c>
      <c r="B5" s="79">
        <v>3</v>
      </c>
      <c r="C5" s="79">
        <v>6</v>
      </c>
      <c r="D5" s="79">
        <v>3</v>
      </c>
      <c r="E5" s="79">
        <v>6</v>
      </c>
      <c r="F5" s="79">
        <v>3</v>
      </c>
      <c r="G5" s="79">
        <v>7</v>
      </c>
      <c r="H5" s="79"/>
      <c r="I5" s="79">
        <v>28</v>
      </c>
      <c r="Q5" t="s">
        <v>32</v>
      </c>
      <c r="R5">
        <v>4</v>
      </c>
      <c r="S5">
        <v>5</v>
      </c>
      <c r="T5">
        <v>3</v>
      </c>
      <c r="X5">
        <v>2</v>
      </c>
      <c r="Y5">
        <v>7</v>
      </c>
      <c r="Z5">
        <v>3</v>
      </c>
      <c r="AB5">
        <v>3</v>
      </c>
      <c r="AC5">
        <v>4</v>
      </c>
      <c r="AD5">
        <v>6</v>
      </c>
      <c r="AE5" s="52">
        <f t="shared" si="0"/>
        <v>0.92307692307692313</v>
      </c>
    </row>
    <row r="6" spans="1:31" x14ac:dyDescent="0.25">
      <c r="A6" s="40" t="s">
        <v>36</v>
      </c>
      <c r="B6" s="79">
        <v>5</v>
      </c>
      <c r="C6" s="79">
        <v>3</v>
      </c>
      <c r="D6" s="79">
        <v>5</v>
      </c>
      <c r="E6" s="79">
        <v>8</v>
      </c>
      <c r="F6" s="79">
        <v>3</v>
      </c>
      <c r="G6" s="79">
        <v>6</v>
      </c>
      <c r="H6" s="79"/>
      <c r="I6" s="79">
        <v>30</v>
      </c>
      <c r="Q6" t="s">
        <v>99</v>
      </c>
      <c r="R6">
        <v>1</v>
      </c>
      <c r="T6">
        <v>1</v>
      </c>
      <c r="X6">
        <v>2</v>
      </c>
      <c r="Y6">
        <v>2</v>
      </c>
      <c r="Z6">
        <v>1</v>
      </c>
      <c r="AB6">
        <v>2</v>
      </c>
      <c r="AC6">
        <v>3</v>
      </c>
      <c r="AD6">
        <v>1</v>
      </c>
      <c r="AE6" s="52">
        <f t="shared" si="0"/>
        <v>0.83333333333333337</v>
      </c>
    </row>
    <row r="7" spans="1:31" x14ac:dyDescent="0.25">
      <c r="A7" s="40" t="s">
        <v>83</v>
      </c>
      <c r="B7" s="79">
        <v>1</v>
      </c>
      <c r="C7" s="79">
        <v>3</v>
      </c>
      <c r="D7" s="79">
        <v>2</v>
      </c>
      <c r="E7" s="79">
        <v>5</v>
      </c>
      <c r="F7" s="79">
        <v>6</v>
      </c>
      <c r="G7" s="79">
        <v>13</v>
      </c>
      <c r="H7" s="79"/>
      <c r="I7" s="79">
        <v>30</v>
      </c>
      <c r="Q7" t="s">
        <v>27</v>
      </c>
      <c r="R7">
        <v>1</v>
      </c>
      <c r="S7">
        <v>1</v>
      </c>
      <c r="T7">
        <v>2</v>
      </c>
      <c r="X7">
        <v>2</v>
      </c>
      <c r="Y7">
        <v>2</v>
      </c>
      <c r="Z7">
        <v>5</v>
      </c>
      <c r="AB7">
        <v>2</v>
      </c>
      <c r="AC7">
        <v>3</v>
      </c>
      <c r="AD7">
        <v>1</v>
      </c>
      <c r="AE7" s="52">
        <f t="shared" si="0"/>
        <v>1.5</v>
      </c>
    </row>
    <row r="8" spans="1:31" x14ac:dyDescent="0.25">
      <c r="A8" s="40" t="s">
        <v>69</v>
      </c>
      <c r="B8" s="79">
        <v>1</v>
      </c>
      <c r="C8" s="79">
        <v>1</v>
      </c>
      <c r="D8" s="79">
        <v>3</v>
      </c>
      <c r="E8" s="79">
        <v>5</v>
      </c>
      <c r="F8" s="79">
        <v>7</v>
      </c>
      <c r="G8" s="79">
        <v>6</v>
      </c>
      <c r="H8" s="79"/>
      <c r="I8" s="79">
        <v>23</v>
      </c>
      <c r="Q8" t="s">
        <v>54</v>
      </c>
      <c r="R8">
        <v>5</v>
      </c>
      <c r="S8">
        <v>2</v>
      </c>
      <c r="X8">
        <v>3</v>
      </c>
      <c r="Y8">
        <v>3</v>
      </c>
      <c r="Z8">
        <v>5</v>
      </c>
      <c r="AB8">
        <v>5</v>
      </c>
      <c r="AC8">
        <v>4</v>
      </c>
      <c r="AD8">
        <v>3</v>
      </c>
      <c r="AE8" s="52">
        <f t="shared" si="0"/>
        <v>0.91666666666666663</v>
      </c>
    </row>
    <row r="9" spans="1:31" x14ac:dyDescent="0.25">
      <c r="A9" s="40" t="s">
        <v>54</v>
      </c>
      <c r="B9" s="79">
        <v>4</v>
      </c>
      <c r="C9" s="79">
        <v>2</v>
      </c>
      <c r="D9" s="79">
        <v>2</v>
      </c>
      <c r="E9" s="79">
        <v>2</v>
      </c>
      <c r="F9" s="79">
        <v>2</v>
      </c>
      <c r="G9" s="79">
        <v>6</v>
      </c>
      <c r="H9" s="79"/>
      <c r="I9" s="79">
        <v>18</v>
      </c>
      <c r="Q9" t="s">
        <v>83</v>
      </c>
      <c r="R9">
        <v>2</v>
      </c>
      <c r="S9">
        <v>2</v>
      </c>
      <c r="X9">
        <v>3</v>
      </c>
      <c r="Y9">
        <v>1</v>
      </c>
      <c r="Z9">
        <v>2</v>
      </c>
      <c r="AB9">
        <v>3</v>
      </c>
      <c r="AC9">
        <v>1</v>
      </c>
      <c r="AD9">
        <v>3</v>
      </c>
      <c r="AE9" s="52">
        <f t="shared" si="0"/>
        <v>0.8571428571428571</v>
      </c>
    </row>
    <row r="10" spans="1:31" x14ac:dyDescent="0.25">
      <c r="A10" s="40" t="s">
        <v>16</v>
      </c>
      <c r="B10" s="79"/>
      <c r="C10" s="79">
        <v>2</v>
      </c>
      <c r="D10" s="79"/>
      <c r="E10" s="79">
        <v>2</v>
      </c>
      <c r="F10" s="79">
        <v>4</v>
      </c>
      <c r="G10" s="79"/>
      <c r="H10" s="79"/>
      <c r="I10" s="79">
        <v>8</v>
      </c>
    </row>
    <row r="11" spans="1:31" x14ac:dyDescent="0.25">
      <c r="A11" s="40" t="s">
        <v>27</v>
      </c>
      <c r="B11" s="79">
        <v>1</v>
      </c>
      <c r="C11" s="79">
        <v>1</v>
      </c>
      <c r="D11" s="79">
        <v>2</v>
      </c>
      <c r="E11" s="79">
        <v>3</v>
      </c>
      <c r="F11" s="79">
        <v>6</v>
      </c>
      <c r="G11" s="79">
        <v>7</v>
      </c>
      <c r="H11" s="79"/>
      <c r="I11" s="79">
        <v>20</v>
      </c>
      <c r="Q11" t="s">
        <v>64</v>
      </c>
      <c r="R11">
        <v>1</v>
      </c>
      <c r="S11">
        <v>3</v>
      </c>
      <c r="T11">
        <v>2</v>
      </c>
      <c r="X11">
        <v>3</v>
      </c>
      <c r="Y11">
        <v>3</v>
      </c>
      <c r="Z11">
        <v>8</v>
      </c>
      <c r="AB11">
        <v>5</v>
      </c>
      <c r="AC11">
        <v>4</v>
      </c>
      <c r="AD11">
        <v>3</v>
      </c>
      <c r="AE11" s="52">
        <f>SUM(X11:Z11)/SUM(AB11:AD11)</f>
        <v>1.1666666666666667</v>
      </c>
    </row>
    <row r="12" spans="1:31" x14ac:dyDescent="0.25">
      <c r="A12" s="40" t="s">
        <v>22</v>
      </c>
      <c r="B12" s="79">
        <v>2</v>
      </c>
      <c r="C12" s="79">
        <v>2</v>
      </c>
      <c r="D12" s="79">
        <v>2</v>
      </c>
      <c r="E12" s="79">
        <v>2</v>
      </c>
      <c r="F12" s="79">
        <v>4</v>
      </c>
      <c r="G12" s="79">
        <v>5</v>
      </c>
      <c r="H12" s="79"/>
      <c r="I12" s="79">
        <v>17</v>
      </c>
      <c r="Q12" t="s">
        <v>36</v>
      </c>
      <c r="R12">
        <v>3</v>
      </c>
      <c r="S12">
        <v>2</v>
      </c>
      <c r="T12">
        <v>4</v>
      </c>
      <c r="X12">
        <v>4</v>
      </c>
      <c r="Y12">
        <v>4</v>
      </c>
      <c r="Z12">
        <v>8</v>
      </c>
      <c r="AB12">
        <v>4</v>
      </c>
      <c r="AC12">
        <v>5</v>
      </c>
      <c r="AD12">
        <v>6</v>
      </c>
      <c r="AE12" s="52">
        <f>SUM(X12:Z12)/SUM(AB12:AD12)</f>
        <v>1.0666666666666667</v>
      </c>
    </row>
    <row r="13" spans="1:31" x14ac:dyDescent="0.25">
      <c r="A13" s="40" t="s">
        <v>99</v>
      </c>
      <c r="B13" s="79">
        <v>1</v>
      </c>
      <c r="C13" s="79"/>
      <c r="D13" s="79">
        <v>1</v>
      </c>
      <c r="E13" s="79">
        <v>3</v>
      </c>
      <c r="F13" s="79">
        <v>1</v>
      </c>
      <c r="G13" s="79">
        <v>7</v>
      </c>
      <c r="H13" s="79"/>
      <c r="I13" s="79">
        <v>13</v>
      </c>
      <c r="Q13" t="s">
        <v>69</v>
      </c>
      <c r="R13">
        <v>1</v>
      </c>
      <c r="S13">
        <v>1</v>
      </c>
      <c r="T13">
        <v>4</v>
      </c>
      <c r="X13">
        <v>2</v>
      </c>
      <c r="Y13">
        <v>1</v>
      </c>
      <c r="Z13">
        <v>3</v>
      </c>
      <c r="AB13">
        <v>2</v>
      </c>
      <c r="AC13">
        <v>2</v>
      </c>
      <c r="AD13">
        <v>1</v>
      </c>
      <c r="AE13" s="52">
        <f>SUM(X13:Z13)/SUM(AB13:AD13)</f>
        <v>1.2</v>
      </c>
    </row>
    <row r="14" spans="1:31" x14ac:dyDescent="0.25">
      <c r="A14" s="40" t="s">
        <v>32</v>
      </c>
      <c r="B14" s="79">
        <v>3</v>
      </c>
      <c r="C14" s="79">
        <v>4</v>
      </c>
      <c r="D14" s="79">
        <v>4</v>
      </c>
      <c r="E14" s="79">
        <v>5</v>
      </c>
      <c r="F14" s="79">
        <v>7</v>
      </c>
      <c r="G14" s="79">
        <v>7</v>
      </c>
      <c r="H14" s="79"/>
      <c r="I14" s="79">
        <v>30</v>
      </c>
      <c r="Q14" t="s">
        <v>59</v>
      </c>
      <c r="R14">
        <v>3</v>
      </c>
      <c r="S14">
        <v>4</v>
      </c>
      <c r="T14">
        <v>5</v>
      </c>
      <c r="X14">
        <v>3</v>
      </c>
      <c r="Y14">
        <v>4</v>
      </c>
      <c r="Z14">
        <v>4</v>
      </c>
      <c r="AB14">
        <v>3</v>
      </c>
      <c r="AC14">
        <v>3</v>
      </c>
      <c r="AD14">
        <v>9</v>
      </c>
      <c r="AE14" s="52">
        <f>SUM(X14:Z14)/SUM(AB14:AD14)</f>
        <v>0.73333333333333328</v>
      </c>
    </row>
    <row r="15" spans="1:31" x14ac:dyDescent="0.25">
      <c r="A15" s="40" t="s">
        <v>834</v>
      </c>
      <c r="B15" s="79"/>
      <c r="C15" s="79">
        <v>4</v>
      </c>
      <c r="D15" s="79"/>
      <c r="E15" s="79">
        <v>7</v>
      </c>
      <c r="F15" s="79">
        <v>8</v>
      </c>
      <c r="G15" s="79">
        <v>6</v>
      </c>
      <c r="H15" s="79"/>
      <c r="I15" s="79">
        <v>25</v>
      </c>
      <c r="Q15" t="s">
        <v>22</v>
      </c>
      <c r="R15">
        <v>2</v>
      </c>
      <c r="T15">
        <v>3</v>
      </c>
      <c r="X15">
        <v>1</v>
      </c>
      <c r="Y15">
        <v>2</v>
      </c>
      <c r="Z15">
        <v>3</v>
      </c>
      <c r="AB15">
        <v>1</v>
      </c>
      <c r="AC15">
        <v>2</v>
      </c>
      <c r="AD15">
        <v>3</v>
      </c>
      <c r="AE15" s="52">
        <f>SUM(X15:Z15)/SUM(AB15:AD15)</f>
        <v>1</v>
      </c>
    </row>
    <row r="16" spans="1:31" x14ac:dyDescent="0.25">
      <c r="A16" s="40" t="s">
        <v>672</v>
      </c>
      <c r="B16" s="79">
        <v>21</v>
      </c>
      <c r="C16" s="79">
        <v>28</v>
      </c>
      <c r="D16" s="79">
        <v>24</v>
      </c>
      <c r="E16" s="79">
        <v>48</v>
      </c>
      <c r="F16" s="79">
        <v>51</v>
      </c>
      <c r="G16" s="79">
        <v>70</v>
      </c>
      <c r="H16" s="79"/>
      <c r="I16" s="79">
        <v>242</v>
      </c>
      <c r="R16" s="53">
        <f t="shared" ref="R16:T16" si="1">SUM(R4:R15)</f>
        <v>23</v>
      </c>
      <c r="S16" s="53">
        <f t="shared" si="1"/>
        <v>22</v>
      </c>
      <c r="T16" s="53">
        <f t="shared" si="1"/>
        <v>25</v>
      </c>
      <c r="X16" s="53">
        <f>SUM(X4:X15)</f>
        <v>26</v>
      </c>
      <c r="Y16" s="53">
        <f t="shared" ref="Y16:Z16" si="2">SUM(Y4:Y15)</f>
        <v>33</v>
      </c>
      <c r="Z16" s="53">
        <f t="shared" si="2"/>
        <v>44</v>
      </c>
      <c r="AA16" s="53"/>
      <c r="AB16" s="53">
        <f t="shared" ref="AB16" si="3">SUM(AB4:AB15)</f>
        <v>32</v>
      </c>
      <c r="AC16" s="53">
        <f t="shared" ref="AC16" si="4">SUM(AC4:AC15)</f>
        <v>32</v>
      </c>
      <c r="AD16" s="53">
        <f t="shared" ref="AD16" si="5">SUM(AD4:AD15)</f>
        <v>38</v>
      </c>
    </row>
    <row r="17" spans="18:30" x14ac:dyDescent="0.25">
      <c r="R17" s="76">
        <v>67</v>
      </c>
      <c r="S17" s="76"/>
      <c r="T17" s="76"/>
      <c r="X17" s="76">
        <v>103</v>
      </c>
      <c r="Y17" s="76"/>
      <c r="Z17" s="76"/>
      <c r="AB17" s="76">
        <v>102</v>
      </c>
      <c r="AC17" s="76"/>
      <c r="AD17" s="76"/>
    </row>
  </sheetData>
  <mergeCells count="9">
    <mergeCell ref="AB1:AD1"/>
    <mergeCell ref="R1:T1"/>
    <mergeCell ref="X1:Z1"/>
    <mergeCell ref="R17:T17"/>
    <mergeCell ref="X17:Z17"/>
    <mergeCell ref="AB17:AD17"/>
    <mergeCell ref="R2:T2"/>
    <mergeCell ref="X2:Z2"/>
    <mergeCell ref="AB2:AD2"/>
  </mergeCells>
  <conditionalFormatting pivot="1" sqref="B5:G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I5:I16">
    <cfRule type="colorScale" priority="2">
      <colorScale>
        <cfvo type="min"/>
        <cfvo type="max"/>
        <color rgb="FFFCFCFF"/>
        <color rgb="FF63BE7B"/>
      </colorScale>
    </cfRule>
  </conditionalFormatting>
  <conditionalFormatting sqref="R4:AD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ignoredErrors>
    <ignoredError sqref="X16:AD16 R16:U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Offense</vt:lpstr>
      <vt:lpstr>Defense</vt:lpstr>
      <vt:lpstr>Main</vt:lpstr>
      <vt:lpstr>Pivot</vt:lpstr>
      <vt:lpstr>Year v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Hermann</dc:creator>
  <cp:lastModifiedBy>Derek Hermann</cp:lastModifiedBy>
  <dcterms:created xsi:type="dcterms:W3CDTF">2026-02-20T05:23:35Z</dcterms:created>
  <dcterms:modified xsi:type="dcterms:W3CDTF">2026-04-07T07:03:39Z</dcterms:modified>
</cp:coreProperties>
</file>